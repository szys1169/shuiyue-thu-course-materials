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第一大组吸湿-脱湿" sheetId="1" r:id="rId1"/>
    <sheet name="第二大组吸湿-脱湿" sheetId="2" r:id="rId2"/>
    <sheet name="第三大组吸湿-脱湿" sheetId="3" r:id="rId3"/>
    <sheet name="第四大组吸湿-脱湿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4" l="1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B73" i="4"/>
  <c r="A73" i="4"/>
  <c r="V70" i="4"/>
  <c r="U70" i="4"/>
  <c r="T70" i="4"/>
  <c r="S70" i="4"/>
  <c r="R70" i="4"/>
  <c r="Q70" i="4"/>
  <c r="P70" i="4"/>
  <c r="O70" i="4"/>
  <c r="Q68" i="4"/>
  <c r="Q71" i="4" s="1"/>
  <c r="V67" i="4"/>
  <c r="V68" i="4" s="1"/>
  <c r="V71" i="4" s="1"/>
  <c r="U67" i="4"/>
  <c r="U68" i="4" s="1"/>
  <c r="U71" i="4" s="1"/>
  <c r="T67" i="4"/>
  <c r="T68" i="4" s="1"/>
  <c r="T71" i="4" s="1"/>
  <c r="S67" i="4"/>
  <c r="S68" i="4" s="1"/>
  <c r="S71" i="4" s="1"/>
  <c r="R67" i="4"/>
  <c r="R68" i="4" s="1"/>
  <c r="R71" i="4" s="1"/>
  <c r="Q67" i="4"/>
  <c r="P67" i="4"/>
  <c r="P68" i="4" s="1"/>
  <c r="P71" i="4" s="1"/>
  <c r="O67" i="4"/>
  <c r="O68" i="4" s="1"/>
  <c r="O71" i="4" s="1"/>
  <c r="A58" i="4"/>
  <c r="B58" i="4"/>
  <c r="A59" i="4"/>
  <c r="B59" i="4"/>
  <c r="A60" i="4"/>
  <c r="B60" i="4"/>
  <c r="A61" i="4"/>
  <c r="B6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41" i="4"/>
  <c r="A41" i="4"/>
  <c r="V38" i="4"/>
  <c r="U38" i="4"/>
  <c r="T38" i="4"/>
  <c r="S38" i="4"/>
  <c r="R38" i="4"/>
  <c r="Q38" i="4"/>
  <c r="P38" i="4"/>
  <c r="O38" i="4"/>
  <c r="V35" i="4"/>
  <c r="V36" i="4" s="1"/>
  <c r="V39" i="4" s="1"/>
  <c r="U35" i="4"/>
  <c r="U36" i="4" s="1"/>
  <c r="U39" i="4" s="1"/>
  <c r="T35" i="4"/>
  <c r="T36" i="4" s="1"/>
  <c r="T39" i="4" s="1"/>
  <c r="S35" i="4"/>
  <c r="S36" i="4" s="1"/>
  <c r="S39" i="4" s="1"/>
  <c r="R35" i="4"/>
  <c r="R36" i="4" s="1"/>
  <c r="R39" i="4" s="1"/>
  <c r="Q35" i="4"/>
  <c r="Q36" i="4" s="1"/>
  <c r="Q39" i="4" s="1"/>
  <c r="P35" i="4"/>
  <c r="P36" i="4" s="1"/>
  <c r="P39" i="4" s="1"/>
  <c r="O35" i="4"/>
  <c r="O36" i="4" s="1"/>
  <c r="O39" i="4" s="1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B10" i="4"/>
  <c r="A10" i="4"/>
  <c r="G2" i="4"/>
  <c r="V7" i="4"/>
  <c r="U7" i="4"/>
  <c r="T7" i="4"/>
  <c r="S7" i="4"/>
  <c r="R7" i="4"/>
  <c r="Q7" i="4"/>
  <c r="P7" i="4"/>
  <c r="O7" i="4"/>
  <c r="V4" i="4"/>
  <c r="V5" i="4" s="1"/>
  <c r="V8" i="4" s="1"/>
  <c r="U4" i="4"/>
  <c r="U5" i="4" s="1"/>
  <c r="U8" i="4" s="1"/>
  <c r="T4" i="4"/>
  <c r="T5" i="4" s="1"/>
  <c r="S4" i="4"/>
  <c r="S5" i="4" s="1"/>
  <c r="S8" i="4" s="1"/>
  <c r="R4" i="4"/>
  <c r="R5" i="4" s="1"/>
  <c r="R8" i="4" s="1"/>
  <c r="Q4" i="4"/>
  <c r="Q5" i="4" s="1"/>
  <c r="P4" i="4"/>
  <c r="P5" i="4" s="1"/>
  <c r="O4" i="4"/>
  <c r="O5" i="4" s="1"/>
  <c r="O8" i="4" s="1"/>
  <c r="G65" i="4"/>
  <c r="G33" i="4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B73" i="3"/>
  <c r="A73" i="3"/>
  <c r="V70" i="3"/>
  <c r="U70" i="3"/>
  <c r="T70" i="3"/>
  <c r="S70" i="3"/>
  <c r="R70" i="3"/>
  <c r="Q70" i="3"/>
  <c r="P70" i="3"/>
  <c r="O70" i="3"/>
  <c r="V67" i="3"/>
  <c r="V68" i="3" s="1"/>
  <c r="V71" i="3" s="1"/>
  <c r="U67" i="3"/>
  <c r="U68" i="3" s="1"/>
  <c r="U71" i="3" s="1"/>
  <c r="T67" i="3"/>
  <c r="T68" i="3" s="1"/>
  <c r="T71" i="3" s="1"/>
  <c r="S67" i="3"/>
  <c r="S68" i="3" s="1"/>
  <c r="S71" i="3" s="1"/>
  <c r="R67" i="3"/>
  <c r="R68" i="3" s="1"/>
  <c r="R71" i="3" s="1"/>
  <c r="Q67" i="3"/>
  <c r="Q68" i="3" s="1"/>
  <c r="Q71" i="3" s="1"/>
  <c r="P67" i="3"/>
  <c r="P68" i="3" s="1"/>
  <c r="P71" i="3" s="1"/>
  <c r="O67" i="3"/>
  <c r="O68" i="3" s="1"/>
  <c r="O71" i="3" s="1"/>
  <c r="G65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B41" i="3"/>
  <c r="A41" i="3"/>
  <c r="G33" i="3"/>
  <c r="O35" i="3"/>
  <c r="O36" i="3" s="1"/>
  <c r="O39" i="3" s="1"/>
  <c r="P35" i="3"/>
  <c r="Q35" i="3"/>
  <c r="R35" i="3"/>
  <c r="S35" i="3"/>
  <c r="T35" i="3"/>
  <c r="U35" i="3"/>
  <c r="V35" i="3"/>
  <c r="P36" i="3"/>
  <c r="Q36" i="3"/>
  <c r="R36" i="3"/>
  <c r="R39" i="3" s="1"/>
  <c r="S36" i="3"/>
  <c r="S39" i="3" s="1"/>
  <c r="T36" i="3"/>
  <c r="U36" i="3"/>
  <c r="V36" i="3"/>
  <c r="O38" i="3"/>
  <c r="P38" i="3"/>
  <c r="Q38" i="3"/>
  <c r="R38" i="3"/>
  <c r="S38" i="3"/>
  <c r="T38" i="3"/>
  <c r="U38" i="3"/>
  <c r="V38" i="3"/>
  <c r="P39" i="3"/>
  <c r="Q39" i="3"/>
  <c r="T39" i="3"/>
  <c r="U39" i="3"/>
  <c r="V39" i="3"/>
  <c r="A29" i="3"/>
  <c r="B29" i="3"/>
  <c r="A30" i="3"/>
  <c r="B3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B10" i="3"/>
  <c r="A10" i="3"/>
  <c r="V7" i="3"/>
  <c r="U7" i="3"/>
  <c r="T7" i="3"/>
  <c r="S7" i="3"/>
  <c r="R7" i="3"/>
  <c r="Q7" i="3"/>
  <c r="P7" i="3"/>
  <c r="O7" i="3"/>
  <c r="P5" i="3"/>
  <c r="P8" i="3" s="1"/>
  <c r="V4" i="3"/>
  <c r="V5" i="3" s="1"/>
  <c r="V8" i="3" s="1"/>
  <c r="U4" i="3"/>
  <c r="U5" i="3" s="1"/>
  <c r="U8" i="3" s="1"/>
  <c r="T4" i="3"/>
  <c r="T5" i="3" s="1"/>
  <c r="T8" i="3" s="1"/>
  <c r="S4" i="3"/>
  <c r="S5" i="3" s="1"/>
  <c r="S8" i="3" s="1"/>
  <c r="R4" i="3"/>
  <c r="R5" i="3" s="1"/>
  <c r="R8" i="3" s="1"/>
  <c r="Q4" i="3"/>
  <c r="Q5" i="3" s="1"/>
  <c r="Q8" i="3" s="1"/>
  <c r="P4" i="3"/>
  <c r="O4" i="3"/>
  <c r="O5" i="3" s="1"/>
  <c r="O8" i="3" s="1"/>
  <c r="G2" i="3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B70" i="2"/>
  <c r="A70" i="2"/>
  <c r="G62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B38" i="2"/>
  <c r="A38" i="2"/>
  <c r="G3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B10" i="2"/>
  <c r="A10" i="2"/>
  <c r="G2" i="2"/>
  <c r="V7" i="2"/>
  <c r="U7" i="2"/>
  <c r="T7" i="2"/>
  <c r="S7" i="2"/>
  <c r="R7" i="2"/>
  <c r="Q7" i="2"/>
  <c r="P7" i="2"/>
  <c r="O7" i="2"/>
  <c r="V4" i="2"/>
  <c r="V5" i="2" s="1"/>
  <c r="V8" i="2" s="1"/>
  <c r="U4" i="2"/>
  <c r="U5" i="2" s="1"/>
  <c r="U8" i="2" s="1"/>
  <c r="T4" i="2"/>
  <c r="T5" i="2" s="1"/>
  <c r="T8" i="2" s="1"/>
  <c r="S4" i="2"/>
  <c r="S5" i="2" s="1"/>
  <c r="S8" i="2" s="1"/>
  <c r="R4" i="2"/>
  <c r="R5" i="2" s="1"/>
  <c r="R8" i="2" s="1"/>
  <c r="Q4" i="2"/>
  <c r="Q5" i="2" s="1"/>
  <c r="Q8" i="2" s="1"/>
  <c r="P4" i="2"/>
  <c r="P5" i="2" s="1"/>
  <c r="P8" i="2" s="1"/>
  <c r="O4" i="2"/>
  <c r="O5" i="2" s="1"/>
  <c r="O8" i="2" s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H10" i="1"/>
  <c r="G10" i="1"/>
  <c r="M46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10" i="1"/>
  <c r="V12" i="1"/>
  <c r="U12" i="1"/>
  <c r="T12" i="1"/>
  <c r="S12" i="1"/>
  <c r="R12" i="1"/>
  <c r="Q12" i="1"/>
  <c r="P12" i="1"/>
  <c r="O12" i="1"/>
  <c r="V9" i="1"/>
  <c r="V10" i="1" s="1"/>
  <c r="V13" i="1" s="1"/>
  <c r="U9" i="1"/>
  <c r="U10" i="1" s="1"/>
  <c r="U13" i="1" s="1"/>
  <c r="T9" i="1"/>
  <c r="T10" i="1" s="1"/>
  <c r="T13" i="1" s="1"/>
  <c r="S9" i="1"/>
  <c r="S10" i="1" s="1"/>
  <c r="S13" i="1" s="1"/>
  <c r="R9" i="1"/>
  <c r="R10" i="1" s="1"/>
  <c r="R13" i="1" s="1"/>
  <c r="Q9" i="1"/>
  <c r="Q10" i="1" s="1"/>
  <c r="Q13" i="1" s="1"/>
  <c r="P9" i="1"/>
  <c r="P10" i="1" s="1"/>
  <c r="P13" i="1" s="1"/>
  <c r="O9" i="1"/>
  <c r="O10" i="1" s="1"/>
  <c r="O13" i="1" s="1"/>
  <c r="M24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B10" i="1"/>
  <c r="A10" i="1"/>
  <c r="T8" i="4" l="1"/>
  <c r="P8" i="4"/>
  <c r="Q8" i="4"/>
  <c r="M2" i="1" l="1"/>
</calcChain>
</file>

<file path=xl/sharedStrings.xml><?xml version="1.0" encoding="utf-8"?>
<sst xmlns="http://schemas.openxmlformats.org/spreadsheetml/2006/main" count="316" uniqueCount="129">
  <si>
    <t>volume content of soil</t>
  </si>
  <si>
    <t>soil water potential</t>
    <phoneticPr fontId="3" type="noConversion"/>
  </si>
  <si>
    <r>
      <t>吸力(</t>
    </r>
    <r>
      <rPr>
        <sz val="12"/>
        <color indexed="10"/>
        <rFont val="宋体"/>
        <family val="3"/>
        <charset val="134"/>
      </rPr>
      <t>S</t>
    </r>
    <r>
      <rPr>
        <sz val="12"/>
        <rFont val="宋体"/>
        <family val="3"/>
        <charset val="134"/>
      </rPr>
      <t>)</t>
    </r>
    <phoneticPr fontId="6" type="noConversion"/>
  </si>
  <si>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M1</t>
    </r>
    <phoneticPr fontId="3" type="noConversion"/>
  </si>
  <si>
    <r>
      <t>1-6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</si>
  <si>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1-6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</si>
  <si>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1-6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</si>
  <si>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1-6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</si>
  <si>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1-6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</si>
  <si>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1-6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</si>
  <si>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1-7</t>
    </r>
    <r>
      <rPr>
        <b/>
        <sz val="11"/>
        <color theme="1"/>
        <rFont val="宋体"/>
        <family val="3"/>
        <charset val="134"/>
      </rPr>
      <t>系统重</t>
    </r>
    <phoneticPr fontId="3" type="noConversion"/>
  </si>
  <si>
    <r>
      <t>1-7</t>
    </r>
    <r>
      <rPr>
        <b/>
        <sz val="11"/>
        <color theme="1"/>
        <rFont val="宋体"/>
        <family val="3"/>
        <charset val="134"/>
      </rPr>
      <t>吸力</t>
    </r>
    <phoneticPr fontId="3" type="noConversion"/>
  </si>
  <si>
    <r>
      <t>1-7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</si>
  <si>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1-7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</si>
  <si>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1-7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</si>
  <si>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1-7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</si>
  <si>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t>单位g</t>
    <phoneticPr fontId="6" type="noConversion"/>
  </si>
  <si>
    <t>方法</t>
    <phoneticPr fontId="6" type="noConversion"/>
  </si>
  <si>
    <t>杯1</t>
    <phoneticPr fontId="6" type="noConversion"/>
  </si>
  <si>
    <t>杯2</t>
  </si>
  <si>
    <t>杯3</t>
  </si>
  <si>
    <t>杯4</t>
  </si>
  <si>
    <t>杯5</t>
  </si>
  <si>
    <t>杯6</t>
  </si>
  <si>
    <t>杯7</t>
  </si>
  <si>
    <t>杯8</t>
  </si>
  <si>
    <r>
      <t>杯重(</t>
    </r>
    <r>
      <rPr>
        <sz val="12"/>
        <color indexed="10"/>
        <rFont val="宋体"/>
        <family val="3"/>
        <charset val="134"/>
      </rPr>
      <t>M</t>
    </r>
    <r>
      <rPr>
        <sz val="12"/>
        <rFont val="宋体"/>
        <family val="3"/>
        <charset val="134"/>
      </rPr>
      <t>)</t>
    </r>
    <phoneticPr fontId="6" type="noConversion"/>
  </si>
  <si>
    <t>称重</t>
    <phoneticPr fontId="6" type="noConversion"/>
  </si>
  <si>
    <r>
      <t>初始系统(杯+土)重(</t>
    </r>
    <r>
      <rPr>
        <sz val="12"/>
        <color indexed="10"/>
        <rFont val="宋体"/>
        <family val="3"/>
        <charset val="134"/>
      </rPr>
      <t>M1</t>
    </r>
    <r>
      <rPr>
        <sz val="12"/>
        <rFont val="宋体"/>
        <family val="3"/>
        <charset val="134"/>
      </rPr>
      <t>)</t>
    </r>
    <phoneticPr fontId="6" type="noConversion"/>
  </si>
  <si>
    <t>称重</t>
    <phoneticPr fontId="6" type="noConversion"/>
  </si>
  <si>
    <r>
      <t>干土重(</t>
    </r>
    <r>
      <rPr>
        <sz val="12"/>
        <color indexed="10"/>
        <rFont val="宋体"/>
        <family val="3"/>
        <charset val="134"/>
      </rPr>
      <t>Ms</t>
    </r>
    <r>
      <rPr>
        <sz val="12"/>
        <rFont val="宋体"/>
        <family val="3"/>
        <charset val="134"/>
      </rPr>
      <t>)</t>
    </r>
    <phoneticPr fontId="6" type="noConversion"/>
  </si>
  <si>
    <r>
      <t>(</t>
    </r>
    <r>
      <rPr>
        <sz val="12"/>
        <rFont val="宋体"/>
        <family val="3"/>
        <charset val="134"/>
      </rPr>
      <t>M1-</t>
    </r>
    <r>
      <rPr>
        <sz val="12"/>
        <rFont val="宋体"/>
        <family val="3"/>
        <charset val="134"/>
      </rPr>
      <t>M)/(1+θo)</t>
    </r>
    <phoneticPr fontId="6" type="noConversion"/>
  </si>
  <si>
    <r>
      <t>初始水重(</t>
    </r>
    <r>
      <rPr>
        <sz val="12"/>
        <color indexed="10"/>
        <rFont val="宋体"/>
        <family val="3"/>
        <charset val="134"/>
      </rPr>
      <t>Mw</t>
    </r>
    <r>
      <rPr>
        <sz val="12"/>
        <rFont val="宋体"/>
        <family val="3"/>
        <charset val="134"/>
      </rPr>
      <t>)</t>
    </r>
    <phoneticPr fontId="6" type="noConversion"/>
  </si>
  <si>
    <t>(M1-M)*θo/(1+θo)</t>
    <phoneticPr fontId="6" type="noConversion"/>
  </si>
  <si>
    <r>
      <t>吸水后系统(杯+土)重(</t>
    </r>
    <r>
      <rPr>
        <sz val="12"/>
        <color indexed="10"/>
        <rFont val="宋体"/>
        <family val="3"/>
        <charset val="134"/>
      </rPr>
      <t>M2</t>
    </r>
    <r>
      <rPr>
        <sz val="12"/>
        <rFont val="宋体"/>
        <family val="3"/>
        <charset val="134"/>
      </rPr>
      <t>)</t>
    </r>
    <phoneticPr fontId="6" type="noConversion"/>
  </si>
  <si>
    <r>
      <t>吸水量(</t>
    </r>
    <r>
      <rPr>
        <sz val="12"/>
        <color indexed="10"/>
        <rFont val="宋体"/>
        <family val="3"/>
        <charset val="134"/>
      </rPr>
      <t>ΔM</t>
    </r>
    <r>
      <rPr>
        <sz val="12"/>
        <rFont val="宋体"/>
        <family val="3"/>
        <charset val="134"/>
      </rPr>
      <t>)</t>
    </r>
    <phoneticPr fontId="6" type="noConversion"/>
  </si>
  <si>
    <t>M2-M1</t>
    <phoneticPr fontId="6" type="noConversion"/>
  </si>
  <si>
    <r>
      <t>体积含水率(</t>
    </r>
    <r>
      <rPr>
        <sz val="12"/>
        <color indexed="10"/>
        <rFont val="宋体"/>
        <family val="3"/>
        <charset val="134"/>
      </rPr>
      <t>V</t>
    </r>
    <r>
      <rPr>
        <sz val="12"/>
        <rFont val="宋体"/>
        <family val="3"/>
        <charset val="134"/>
      </rPr>
      <t>)</t>
    </r>
    <phoneticPr fontId="6" type="noConversion"/>
  </si>
  <si>
    <t>(Mw+ΔM)*Υc/Ms</t>
    <phoneticPr fontId="6" type="noConversion"/>
  </si>
  <si>
    <t>读数</t>
    <phoneticPr fontId="6" type="noConversion"/>
  </si>
  <si>
    <r>
      <t>1-8</t>
    </r>
    <r>
      <rPr>
        <b/>
        <sz val="11"/>
        <color theme="1"/>
        <rFont val="宋体"/>
        <family val="3"/>
        <charset val="134"/>
      </rPr>
      <t>系统重</t>
    </r>
    <phoneticPr fontId="3" type="noConversion"/>
  </si>
  <si>
    <r>
      <t>1-8</t>
    </r>
    <r>
      <rPr>
        <b/>
        <sz val="11"/>
        <color theme="1"/>
        <rFont val="宋体"/>
        <family val="3"/>
        <charset val="134"/>
      </rPr>
      <t>吸力</t>
    </r>
    <phoneticPr fontId="3" type="noConversion"/>
  </si>
  <si>
    <r>
      <t>1-8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</si>
  <si>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1-8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</si>
  <si>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1-8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</si>
  <si>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1-8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</si>
  <si>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2-6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</si>
  <si>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2-6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</si>
  <si>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2-6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</si>
  <si>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2-6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</si>
  <si>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2-6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</si>
  <si>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2-6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</si>
  <si>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t>方法</t>
    <phoneticPr fontId="6" type="noConversion"/>
  </si>
  <si>
    <r>
      <t>初始系统(杯+土)重(</t>
    </r>
    <r>
      <rPr>
        <sz val="12"/>
        <color indexed="10"/>
        <rFont val="宋体"/>
        <family val="3"/>
        <charset val="134"/>
      </rPr>
      <t>M1</t>
    </r>
    <r>
      <rPr>
        <sz val="12"/>
        <rFont val="宋体"/>
        <family val="3"/>
        <charset val="134"/>
      </rPr>
      <t>)</t>
    </r>
    <phoneticPr fontId="6" type="noConversion"/>
  </si>
  <si>
    <r>
      <t>干土重(</t>
    </r>
    <r>
      <rPr>
        <sz val="12"/>
        <color indexed="10"/>
        <rFont val="宋体"/>
        <family val="3"/>
        <charset val="134"/>
      </rPr>
      <t>Ms</t>
    </r>
    <r>
      <rPr>
        <sz val="12"/>
        <rFont val="宋体"/>
        <family val="3"/>
        <charset val="134"/>
      </rPr>
      <t>)</t>
    </r>
    <phoneticPr fontId="6" type="noConversion"/>
  </si>
  <si>
    <r>
      <t>(</t>
    </r>
    <r>
      <rPr>
        <sz val="12"/>
        <rFont val="宋体"/>
        <family val="3"/>
        <charset val="134"/>
      </rPr>
      <t>M1-</t>
    </r>
    <r>
      <rPr>
        <sz val="12"/>
        <rFont val="宋体"/>
        <family val="3"/>
        <charset val="134"/>
      </rPr>
      <t>M)/(1+θo)</t>
    </r>
    <phoneticPr fontId="6" type="noConversion"/>
  </si>
  <si>
    <r>
      <t>吸水量(</t>
    </r>
    <r>
      <rPr>
        <sz val="12"/>
        <color indexed="10"/>
        <rFont val="宋体"/>
        <family val="3"/>
        <charset val="134"/>
      </rPr>
      <t>ΔM</t>
    </r>
    <r>
      <rPr>
        <sz val="12"/>
        <rFont val="宋体"/>
        <family val="3"/>
        <charset val="134"/>
      </rPr>
      <t>)</t>
    </r>
    <phoneticPr fontId="6" type="noConversion"/>
  </si>
  <si>
    <t>M2-M1</t>
    <phoneticPr fontId="6" type="noConversion"/>
  </si>
  <si>
    <r>
      <t>吸力(</t>
    </r>
    <r>
      <rPr>
        <sz val="12"/>
        <color indexed="10"/>
        <rFont val="宋体"/>
        <family val="3"/>
        <charset val="134"/>
      </rPr>
      <t>S</t>
    </r>
    <r>
      <rPr>
        <sz val="12"/>
        <rFont val="宋体"/>
        <family val="3"/>
        <charset val="134"/>
      </rPr>
      <t>)</t>
    </r>
    <phoneticPr fontId="6" type="noConversion"/>
  </si>
  <si>
    <r>
      <t>2-7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</si>
  <si>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2-7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</si>
  <si>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2-7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</si>
  <si>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2-7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</si>
  <si>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2-7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</si>
  <si>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2-7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</si>
  <si>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2-8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</si>
  <si>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2-8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</si>
  <si>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2-8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</si>
  <si>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2-8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</si>
  <si>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2-8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</si>
  <si>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2-8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</si>
  <si>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3-6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</si>
  <si>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3-6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</si>
  <si>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3-6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</si>
  <si>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3-6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</si>
  <si>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3-6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</si>
  <si>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3-6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</si>
  <si>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t>单位g</t>
    <phoneticPr fontId="6" type="noConversion"/>
  </si>
  <si>
    <t>方法</t>
    <phoneticPr fontId="6" type="noConversion"/>
  </si>
  <si>
    <t>杯1</t>
    <phoneticPr fontId="6" type="noConversion"/>
  </si>
  <si>
    <r>
      <t>杯重(</t>
    </r>
    <r>
      <rPr>
        <sz val="12"/>
        <color indexed="10"/>
        <rFont val="宋体"/>
        <family val="3"/>
        <charset val="134"/>
      </rPr>
      <t>M</t>
    </r>
    <r>
      <rPr>
        <sz val="12"/>
        <rFont val="宋体"/>
        <family val="3"/>
        <charset val="134"/>
      </rPr>
      <t>)</t>
    </r>
    <phoneticPr fontId="6" type="noConversion"/>
  </si>
  <si>
    <t>称重</t>
    <phoneticPr fontId="6" type="noConversion"/>
  </si>
  <si>
    <r>
      <t>初始水重(</t>
    </r>
    <r>
      <rPr>
        <sz val="12"/>
        <color indexed="10"/>
        <rFont val="宋体"/>
        <family val="3"/>
        <charset val="134"/>
      </rPr>
      <t>Mw</t>
    </r>
    <r>
      <rPr>
        <sz val="12"/>
        <rFont val="宋体"/>
        <family val="3"/>
        <charset val="134"/>
      </rPr>
      <t>)</t>
    </r>
    <phoneticPr fontId="6" type="noConversion"/>
  </si>
  <si>
    <r>
      <t>吸水后系统(杯+土)重(</t>
    </r>
    <r>
      <rPr>
        <sz val="12"/>
        <color indexed="10"/>
        <rFont val="宋体"/>
        <family val="3"/>
        <charset val="134"/>
      </rPr>
      <t>M2</t>
    </r>
    <r>
      <rPr>
        <sz val="12"/>
        <rFont val="宋体"/>
        <family val="3"/>
        <charset val="134"/>
      </rPr>
      <t>)</t>
    </r>
    <phoneticPr fontId="6" type="noConversion"/>
  </si>
  <si>
    <r>
      <t>吸水量(</t>
    </r>
    <r>
      <rPr>
        <sz val="12"/>
        <color indexed="10"/>
        <rFont val="宋体"/>
        <family val="3"/>
        <charset val="134"/>
      </rPr>
      <t>ΔM</t>
    </r>
    <r>
      <rPr>
        <sz val="12"/>
        <rFont val="宋体"/>
        <family val="3"/>
        <charset val="134"/>
      </rPr>
      <t>)</t>
    </r>
    <phoneticPr fontId="6" type="noConversion"/>
  </si>
  <si>
    <t>M2-M1</t>
    <phoneticPr fontId="6" type="noConversion"/>
  </si>
  <si>
    <r>
      <t>体积含水率(</t>
    </r>
    <r>
      <rPr>
        <sz val="12"/>
        <color indexed="10"/>
        <rFont val="宋体"/>
        <family val="3"/>
        <charset val="134"/>
      </rPr>
      <t>V</t>
    </r>
    <r>
      <rPr>
        <sz val="12"/>
        <rFont val="宋体"/>
        <family val="3"/>
        <charset val="134"/>
      </rPr>
      <t>)</t>
    </r>
    <phoneticPr fontId="6" type="noConversion"/>
  </si>
  <si>
    <t>(Mw+ΔM)*Υc/Ms</t>
    <phoneticPr fontId="6" type="noConversion"/>
  </si>
  <si>
    <r>
      <t>吸力(</t>
    </r>
    <r>
      <rPr>
        <sz val="12"/>
        <color indexed="10"/>
        <rFont val="宋体"/>
        <family val="3"/>
        <charset val="134"/>
      </rPr>
      <t>S</t>
    </r>
    <r>
      <rPr>
        <sz val="12"/>
        <rFont val="宋体"/>
        <family val="3"/>
        <charset val="134"/>
      </rPr>
      <t>)</t>
    </r>
    <phoneticPr fontId="6" type="noConversion"/>
  </si>
  <si>
    <t>读数</t>
    <phoneticPr fontId="6" type="noConversion"/>
  </si>
  <si>
    <r>
      <t>3-7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</si>
  <si>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3-7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</si>
  <si>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3-7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</si>
  <si>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3-7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</si>
  <si>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3-7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</si>
  <si>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3-7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</si>
  <si>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3-8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</si>
  <si>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3-8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</si>
  <si>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3-8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</si>
  <si>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3-8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</si>
  <si>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3-8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</si>
  <si>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3-8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</si>
  <si>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4-6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</si>
  <si>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4-6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</si>
  <si>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4-6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</si>
  <si>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4-6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</si>
  <si>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4-6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</si>
  <si>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4-6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</si>
  <si>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杯重(</t>
    </r>
    <r>
      <rPr>
        <sz val="12"/>
        <color indexed="10"/>
        <rFont val="宋体"/>
        <family val="3"/>
        <charset val="134"/>
      </rPr>
      <t>M</t>
    </r>
    <r>
      <rPr>
        <sz val="12"/>
        <rFont val="宋体"/>
        <family val="3"/>
        <charset val="134"/>
      </rPr>
      <t>)</t>
    </r>
    <phoneticPr fontId="6" type="noConversion"/>
  </si>
  <si>
    <t>称重</t>
    <phoneticPr fontId="6" type="noConversion"/>
  </si>
  <si>
    <r>
      <t>干土重(</t>
    </r>
    <r>
      <rPr>
        <sz val="12"/>
        <color indexed="10"/>
        <rFont val="宋体"/>
        <family val="3"/>
        <charset val="134"/>
      </rPr>
      <t>Ms</t>
    </r>
    <r>
      <rPr>
        <sz val="12"/>
        <rFont val="宋体"/>
        <family val="3"/>
        <charset val="134"/>
      </rPr>
      <t>)</t>
    </r>
    <phoneticPr fontId="6" type="noConversion"/>
  </si>
  <si>
    <r>
      <t>初始水重(</t>
    </r>
    <r>
      <rPr>
        <sz val="12"/>
        <color indexed="10"/>
        <rFont val="宋体"/>
        <family val="3"/>
        <charset val="134"/>
      </rPr>
      <t>Mw</t>
    </r>
    <r>
      <rPr>
        <sz val="12"/>
        <rFont val="宋体"/>
        <family val="3"/>
        <charset val="134"/>
      </rPr>
      <t>)</t>
    </r>
    <phoneticPr fontId="6" type="noConversion"/>
  </si>
  <si>
    <t>M2-M1</t>
    <phoneticPr fontId="6" type="noConversion"/>
  </si>
  <si>
    <r>
      <t>体积含水率(</t>
    </r>
    <r>
      <rPr>
        <sz val="12"/>
        <color indexed="10"/>
        <rFont val="宋体"/>
        <family val="3"/>
        <charset val="134"/>
      </rPr>
      <t>V</t>
    </r>
    <r>
      <rPr>
        <sz val="12"/>
        <rFont val="宋体"/>
        <family val="3"/>
        <charset val="134"/>
      </rPr>
      <t>)</t>
    </r>
    <phoneticPr fontId="6" type="noConversion"/>
  </si>
  <si>
    <t>(Mw+ΔM)*Υc/Ms</t>
    <phoneticPr fontId="6" type="noConversion"/>
  </si>
  <si>
    <r>
      <t>吸力(</t>
    </r>
    <r>
      <rPr>
        <sz val="12"/>
        <color indexed="10"/>
        <rFont val="宋体"/>
        <family val="3"/>
        <charset val="134"/>
      </rPr>
      <t>S</t>
    </r>
    <r>
      <rPr>
        <sz val="12"/>
        <rFont val="宋体"/>
        <family val="3"/>
        <charset val="134"/>
      </rPr>
      <t>)</t>
    </r>
    <phoneticPr fontId="6" type="noConversion"/>
  </si>
  <si>
    <t>读数</t>
    <phoneticPr fontId="6" type="noConversion"/>
  </si>
  <si>
    <r>
      <t>4-7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</si>
  <si>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4-7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</si>
  <si>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4-7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</si>
  <si>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4-7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</si>
  <si>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4-7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</si>
  <si>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4-7</t>
    </r>
    <r>
      <rPr>
        <sz val="11"/>
        <color theme="1"/>
        <rFont val="宋体"/>
        <family val="3"/>
        <charset val="134"/>
      </rPr>
      <t>初始土重</t>
    </r>
    <phoneticPr fontId="3" type="noConversion"/>
  </si>
  <si>
    <r>
      <t>4-8</t>
    </r>
    <r>
      <rPr>
        <b/>
        <sz val="11"/>
        <color theme="1"/>
        <rFont val="宋体"/>
        <family val="3"/>
        <charset val="134"/>
      </rPr>
      <t>系统重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M2</t>
    </r>
    <r>
      <rPr>
        <b/>
        <sz val="12"/>
        <rFont val="宋体"/>
        <family val="3"/>
        <charset val="134"/>
      </rPr>
      <t>)</t>
    </r>
    <phoneticPr fontId="6" type="noConversion"/>
  </si>
  <si>
    <r>
      <t>4-8</t>
    </r>
    <r>
      <rPr>
        <b/>
        <sz val="11"/>
        <color theme="1"/>
        <rFont val="宋体"/>
        <family val="3"/>
        <charset val="134"/>
      </rPr>
      <t>吸力</t>
    </r>
    <r>
      <rPr>
        <b/>
        <sz val="11"/>
        <color theme="1"/>
        <rFont val="Times New Roman"/>
        <family val="1"/>
      </rPr>
      <t>(</t>
    </r>
    <r>
      <rPr>
        <b/>
        <sz val="12"/>
        <color indexed="10"/>
        <rFont val="宋体"/>
        <family val="3"/>
        <charset val="134"/>
      </rPr>
      <t>S</t>
    </r>
    <r>
      <rPr>
        <b/>
        <sz val="12"/>
        <rFont val="宋体"/>
        <family val="3"/>
        <charset val="134"/>
      </rPr>
      <t>)</t>
    </r>
    <phoneticPr fontId="6" type="noConversion"/>
  </si>
  <si>
    <r>
      <t>4-8</t>
    </r>
    <r>
      <rPr>
        <sz val="11"/>
        <color theme="1"/>
        <rFont val="宋体"/>
        <family val="3"/>
        <charset val="134"/>
      </rPr>
      <t>杯重</t>
    </r>
    <phoneticPr fontId="3" type="noConversion"/>
  </si>
  <si>
    <r>
      <t>4-8</t>
    </r>
    <r>
      <rPr>
        <sz val="11"/>
        <color theme="1"/>
        <rFont val="宋体"/>
        <family val="3"/>
        <charset val="134"/>
      </rPr>
      <t>初始系统重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吸湿</t>
    </r>
    <r>
      <rPr>
        <sz val="11"/>
        <color theme="1"/>
        <rFont val="Times New Roman"/>
        <family val="1"/>
      </rPr>
      <t>)</t>
    </r>
    <phoneticPr fontId="3" type="noConversion"/>
  </si>
  <si>
    <r>
      <t>4-8</t>
    </r>
    <r>
      <rPr>
        <sz val="11"/>
        <color theme="1"/>
        <rFont val="宋体"/>
        <family val="3"/>
        <charset val="134"/>
      </rPr>
      <t>初始水重</t>
    </r>
    <phoneticPr fontId="3" type="noConversion"/>
  </si>
  <si>
    <r>
      <t>4-8</t>
    </r>
    <r>
      <rPr>
        <sz val="11"/>
        <color theme="1"/>
        <rFont val="宋体"/>
        <family val="3"/>
        <charset val="134"/>
      </rPr>
      <t>初始土重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</si>
</sst>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76" fontId="0" fillId="2" borderId="1" xfId="0" applyNumberForma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176" fontId="4" fillId="2" borderId="1" xfId="1" applyNumberFormat="1" applyFont="1" applyFill="1" applyBorder="1" applyAlignment="1">
      <alignment horizontal="left" vertical="center" wrapText="1"/>
    </xf>
    <xf numFmtId="176" fontId="4" fillId="2" borderId="1" xfId="1" applyNumberFormat="1" applyFill="1" applyBorder="1" applyAlignment="1">
      <alignment horizontal="left" vertical="center"/>
    </xf>
    <xf numFmtId="176" fontId="4" fillId="2" borderId="1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opLeftCell="F1" workbookViewId="0">
      <selection activeCell="J1" sqref="J1:Q2"/>
    </sheetView>
  </sheetViews>
  <sheetFormatPr defaultRowHeight="13.8" x14ac:dyDescent="0.25"/>
  <cols>
    <col min="1" max="1" width="19.5546875" style="4" customWidth="1"/>
    <col min="2" max="2" width="17.44140625" style="4" customWidth="1"/>
    <col min="3" max="3" width="4.77734375" style="4" customWidth="1"/>
    <col min="4" max="4" width="23.6640625" style="4" customWidth="1"/>
    <col min="5" max="5" width="19.33203125" style="4" customWidth="1"/>
    <col min="6" max="6" width="5.5546875" style="4" customWidth="1"/>
    <col min="7" max="7" width="21" style="4" customWidth="1"/>
    <col min="8" max="8" width="18.109375" style="4" customWidth="1"/>
    <col min="9" max="9" width="8.88671875" style="4"/>
    <col min="10" max="10" width="14.77734375" style="4" customWidth="1"/>
    <col min="11" max="11" width="12.5546875" style="4" customWidth="1"/>
    <col min="12" max="12" width="8.88671875" style="4"/>
    <col min="13" max="13" width="14.5546875" style="4" customWidth="1"/>
    <col min="14" max="14" width="8.88671875" style="4"/>
    <col min="15" max="15" width="18.77734375" style="4" customWidth="1"/>
    <col min="16" max="16" width="15" style="4" customWidth="1"/>
    <col min="17" max="16384" width="8.88671875" style="4"/>
  </cols>
  <sheetData>
    <row r="1" spans="1:22" ht="15.6" x14ac:dyDescent="0.25">
      <c r="A1" s="3" t="s">
        <v>0</v>
      </c>
      <c r="B1" s="4" t="s">
        <v>1</v>
      </c>
      <c r="D1" s="3" t="s">
        <v>0</v>
      </c>
      <c r="E1" s="4" t="s">
        <v>1</v>
      </c>
      <c r="G1" s="3" t="s">
        <v>0</v>
      </c>
      <c r="H1" s="4" t="s">
        <v>1</v>
      </c>
      <c r="J1" s="7" t="s">
        <v>8</v>
      </c>
      <c r="K1" s="7" t="s">
        <v>9</v>
      </c>
      <c r="M1" s="4" t="s">
        <v>3</v>
      </c>
      <c r="N1" s="4" t="s">
        <v>4</v>
      </c>
      <c r="O1" s="4" t="s">
        <v>5</v>
      </c>
      <c r="P1" s="4" t="s">
        <v>6</v>
      </c>
      <c r="Q1" s="4" t="s">
        <v>7</v>
      </c>
    </row>
    <row r="2" spans="1:22" x14ac:dyDescent="0.25">
      <c r="A2" s="4">
        <v>5.0941934306569195E-2</v>
      </c>
      <c r="B2" s="4">
        <v>-14.99</v>
      </c>
      <c r="D2" s="4">
        <v>5.0941934306569195E-2</v>
      </c>
      <c r="E2" s="4">
        <v>-14.99</v>
      </c>
      <c r="G2" s="4">
        <v>5.0941934306569195E-2</v>
      </c>
      <c r="H2" s="4">
        <v>-14.99</v>
      </c>
      <c r="J2" s="4">
        <v>31.018000000000001</v>
      </c>
      <c r="K2" s="4">
        <v>0.01</v>
      </c>
      <c r="M2" s="4">
        <f>J2</f>
        <v>31.018000000000001</v>
      </c>
      <c r="N2" s="4">
        <v>24.815999999999999</v>
      </c>
      <c r="O2" s="4">
        <v>29.056999999999999</v>
      </c>
      <c r="P2" s="4">
        <v>5.731646443721021E-2</v>
      </c>
      <c r="Q2" s="4">
        <v>4.183683535562789</v>
      </c>
    </row>
    <row r="3" spans="1:22" x14ac:dyDescent="0.25">
      <c r="A3" s="4">
        <v>6.7049916013438002E-2</v>
      </c>
      <c r="B3" s="4">
        <v>-5.33</v>
      </c>
      <c r="D3" s="4">
        <v>6.7049916013438002E-2</v>
      </c>
      <c r="E3" s="4">
        <v>-5.33</v>
      </c>
      <c r="G3" s="4">
        <v>6.7049916013438002E-2</v>
      </c>
      <c r="H3" s="4">
        <v>-5.33</v>
      </c>
      <c r="J3" s="4">
        <v>30.917999999999999</v>
      </c>
      <c r="K3" s="4">
        <v>-7.0000000000000007E-2</v>
      </c>
    </row>
    <row r="4" spans="1:22" x14ac:dyDescent="0.25">
      <c r="A4" s="4">
        <v>0.11698963006049284</v>
      </c>
      <c r="B4" s="4">
        <v>-0.83</v>
      </c>
      <c r="D4" s="4">
        <v>0.11698963006049284</v>
      </c>
      <c r="E4" s="4">
        <v>-0.83</v>
      </c>
      <c r="G4" s="4">
        <v>0.11698963006049284</v>
      </c>
      <c r="H4" s="4">
        <v>-0.83</v>
      </c>
      <c r="J4" s="4">
        <v>30.850999999999999</v>
      </c>
      <c r="K4" s="4">
        <v>-0.12</v>
      </c>
    </row>
    <row r="5" spans="1:22" x14ac:dyDescent="0.25">
      <c r="A5" s="4">
        <v>0.14955053191489306</v>
      </c>
      <c r="B5" s="4">
        <v>-0.42</v>
      </c>
      <c r="D5" s="4">
        <v>0.14955053191489306</v>
      </c>
      <c r="E5" s="4">
        <v>-0.42</v>
      </c>
      <c r="G5" s="4">
        <v>0.14955053191489306</v>
      </c>
      <c r="H5" s="4">
        <v>-0.42</v>
      </c>
      <c r="J5" s="4">
        <v>30.721</v>
      </c>
      <c r="K5" s="4">
        <v>-0.09</v>
      </c>
    </row>
    <row r="6" spans="1:22" ht="15.6" x14ac:dyDescent="0.25">
      <c r="A6" s="4">
        <v>0.19191447664603284</v>
      </c>
      <c r="B6" s="4">
        <v>-0.37</v>
      </c>
      <c r="D6" s="4">
        <v>0.19191447664603284</v>
      </c>
      <c r="E6" s="4">
        <v>-0.37</v>
      </c>
      <c r="G6" s="4">
        <v>0.19191447664603284</v>
      </c>
      <c r="H6" s="4">
        <v>-0.37</v>
      </c>
      <c r="J6" s="4">
        <v>30.658999999999999</v>
      </c>
      <c r="K6" s="4">
        <v>-0.34</v>
      </c>
      <c r="M6" s="8" t="s">
        <v>16</v>
      </c>
      <c r="N6" s="8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</row>
    <row r="7" spans="1:22" ht="15.6" x14ac:dyDescent="0.25">
      <c r="A7" s="4">
        <v>0.23024181089365817</v>
      </c>
      <c r="B7" s="4">
        <v>-0.15</v>
      </c>
      <c r="D7" s="4">
        <v>0.23024181089365817</v>
      </c>
      <c r="E7" s="4">
        <v>-0.15</v>
      </c>
      <c r="G7" s="4">
        <v>0.23024181089365817</v>
      </c>
      <c r="H7" s="4">
        <v>-0.15</v>
      </c>
      <c r="J7" s="4">
        <v>30.606999999999999</v>
      </c>
      <c r="K7" s="4">
        <v>-0.06</v>
      </c>
      <c r="M7" s="10" t="s">
        <v>26</v>
      </c>
      <c r="N7" s="10" t="s">
        <v>27</v>
      </c>
      <c r="O7" s="11">
        <v>24.56</v>
      </c>
      <c r="P7" s="5">
        <v>24.370999999999999</v>
      </c>
      <c r="Q7" s="5">
        <v>24.738</v>
      </c>
      <c r="R7" s="5">
        <v>24.451000000000001</v>
      </c>
      <c r="S7" s="5">
        <v>24.806000000000001</v>
      </c>
      <c r="T7" s="5">
        <v>24.815999999999999</v>
      </c>
      <c r="U7" s="5">
        <v>24.347999999999999</v>
      </c>
      <c r="V7" s="5">
        <v>24.789000000000001</v>
      </c>
    </row>
    <row r="8" spans="1:22" ht="31.2" x14ac:dyDescent="0.25">
      <c r="A8" s="4">
        <v>0.22312144104803461</v>
      </c>
      <c r="B8" s="4">
        <v>-2.8000000000000001E-2</v>
      </c>
      <c r="D8" s="4">
        <v>0.22312144104803461</v>
      </c>
      <c r="E8" s="4">
        <v>-2.8000000000000001E-2</v>
      </c>
      <c r="G8" s="4">
        <v>0.22312144104803461</v>
      </c>
      <c r="H8" s="4">
        <v>-2.8000000000000001E-2</v>
      </c>
      <c r="J8" s="4">
        <v>30.553999999999998</v>
      </c>
      <c r="K8" s="4">
        <v>-0.12</v>
      </c>
      <c r="M8" s="10" t="s">
        <v>28</v>
      </c>
      <c r="N8" s="10" t="s">
        <v>29</v>
      </c>
      <c r="O8" s="11">
        <v>28.533000000000001</v>
      </c>
      <c r="P8" s="5">
        <v>29.728999999999999</v>
      </c>
      <c r="Q8" s="5">
        <v>29.036000000000001</v>
      </c>
      <c r="R8" s="5">
        <v>29.574000000000002</v>
      </c>
      <c r="S8" s="5">
        <v>28.36</v>
      </c>
      <c r="T8" s="5">
        <v>29.056999999999999</v>
      </c>
      <c r="U8" s="5">
        <v>29.157</v>
      </c>
      <c r="V8" s="5">
        <v>29.64</v>
      </c>
    </row>
    <row r="9" spans="1:22" ht="15.6" x14ac:dyDescent="0.25">
      <c r="A9" s="4">
        <v>0.30680834260977097</v>
      </c>
      <c r="B9" s="4">
        <v>-2.3E-2</v>
      </c>
      <c r="D9" s="4">
        <v>0.30680834260977097</v>
      </c>
      <c r="E9" s="4">
        <v>-2.3E-2</v>
      </c>
      <c r="G9" s="4">
        <v>0.30680834260977097</v>
      </c>
      <c r="H9" s="4">
        <v>-2.3E-2</v>
      </c>
      <c r="J9" s="4">
        <v>30.504999999999999</v>
      </c>
      <c r="K9" s="4">
        <v>-0.13</v>
      </c>
      <c r="M9" s="8" t="s">
        <v>30</v>
      </c>
      <c r="N9" s="8" t="s">
        <v>31</v>
      </c>
      <c r="O9" s="6">
        <f>(O8-O7)/(1+0.0137)</f>
        <v>3.9193055144520099</v>
      </c>
      <c r="P9" s="6">
        <f t="shared" ref="P9:V9" si="0">(P8-P7)/(1+0.0137)</f>
        <v>5.2855874519088495</v>
      </c>
      <c r="Q9" s="6">
        <f t="shared" si="0"/>
        <v>4.2399131893065025</v>
      </c>
      <c r="R9" s="6">
        <f t="shared" si="0"/>
        <v>5.0537634408602159</v>
      </c>
      <c r="S9" s="6">
        <f t="shared" si="0"/>
        <v>3.505968235178059</v>
      </c>
      <c r="T9" s="6">
        <f t="shared" si="0"/>
        <v>4.183683535562789</v>
      </c>
      <c r="U9" s="6">
        <f t="shared" si="0"/>
        <v>4.7440071026931054</v>
      </c>
      <c r="V9" s="6">
        <f t="shared" si="0"/>
        <v>4.7854394791358379</v>
      </c>
    </row>
    <row r="10" spans="1:22" ht="15.6" x14ac:dyDescent="0.25">
      <c r="A10" s="4">
        <f>(J2-$O$2+$P$2)/$Q$2*1.45</f>
        <v>0.699517267153974</v>
      </c>
      <c r="B10" s="4">
        <f>K2</f>
        <v>0.01</v>
      </c>
      <c r="D10" s="4">
        <f>(J24-$O$24+$P$24)/$Q$24*1.45</f>
        <v>0.73294361197754143</v>
      </c>
      <c r="E10" s="4">
        <f>K24</f>
        <v>0.02</v>
      </c>
      <c r="G10" s="4">
        <f>(J46-$O$46+$P$46)/$Q$46*1.45</f>
        <v>0.70131756338899176</v>
      </c>
      <c r="H10" s="4">
        <f>K46</f>
        <v>0.13</v>
      </c>
      <c r="J10" s="4">
        <v>30.45</v>
      </c>
      <c r="K10" s="4">
        <v>-0.23</v>
      </c>
      <c r="M10" s="8" t="s">
        <v>32</v>
      </c>
      <c r="N10" s="8" t="s">
        <v>33</v>
      </c>
      <c r="O10" s="6">
        <f>O9*0.0137</f>
        <v>5.369448554799254E-2</v>
      </c>
      <c r="P10" s="6">
        <f t="shared" ref="P10:V10" si="1">P9*0.0137</f>
        <v>7.2412548091151246E-2</v>
      </c>
      <c r="Q10" s="6">
        <f t="shared" si="1"/>
        <v>5.8086810693499087E-2</v>
      </c>
      <c r="R10" s="6">
        <f t="shared" si="1"/>
        <v>6.9236559139784964E-2</v>
      </c>
      <c r="S10" s="6">
        <f t="shared" si="1"/>
        <v>4.803176482193941E-2</v>
      </c>
      <c r="T10" s="6">
        <f t="shared" si="1"/>
        <v>5.731646443721021E-2</v>
      </c>
      <c r="U10" s="6">
        <f t="shared" si="1"/>
        <v>6.4992897306895545E-2</v>
      </c>
      <c r="V10" s="6">
        <f t="shared" si="1"/>
        <v>6.5560520864160976E-2</v>
      </c>
    </row>
    <row r="11" spans="1:22" ht="15.6" x14ac:dyDescent="0.25">
      <c r="A11" s="4">
        <f t="shared" ref="A11:A30" si="2">(J3-$O$2+$P$2)/$Q$2*1.45</f>
        <v>0.66485881395897228</v>
      </c>
      <c r="B11" s="4">
        <f t="shared" ref="B11:B30" si="3">K3</f>
        <v>-7.0000000000000007E-2</v>
      </c>
      <c r="D11" s="4">
        <f t="shared" ref="D11:D30" si="4">(J25-$O$24+$P$24)/$Q$24*1.45</f>
        <v>0.70421262632563952</v>
      </c>
      <c r="E11" s="4">
        <f t="shared" ref="E11:E30" si="5">K25</f>
        <v>-0.03</v>
      </c>
      <c r="G11" s="4">
        <f t="shared" ref="G11:G30" si="6">(J47-$O$46+$P$46)/$Q$46*1.45</f>
        <v>0.68434942486085293</v>
      </c>
      <c r="H11" s="4">
        <f t="shared" ref="H11:H30" si="7">K47</f>
        <v>-0.01</v>
      </c>
      <c r="J11" s="4">
        <v>30.401</v>
      </c>
      <c r="K11" s="4">
        <v>-0.41</v>
      </c>
      <c r="M11" s="8" t="s">
        <v>34</v>
      </c>
      <c r="N11" s="8" t="s">
        <v>29</v>
      </c>
      <c r="O11" s="6">
        <v>28.617000000000001</v>
      </c>
      <c r="P11" s="5">
        <v>29.901</v>
      </c>
      <c r="Q11" s="5">
        <v>29.32</v>
      </c>
      <c r="R11" s="5">
        <v>30.026</v>
      </c>
      <c r="S11" s="5">
        <v>28.776</v>
      </c>
      <c r="T11" s="5">
        <v>29.664000000000001</v>
      </c>
      <c r="U11" s="5">
        <v>29.821999999999999</v>
      </c>
      <c r="V11" s="5">
        <v>30.587</v>
      </c>
    </row>
    <row r="12" spans="1:22" ht="15.6" x14ac:dyDescent="0.25">
      <c r="A12" s="4">
        <f t="shared" si="2"/>
        <v>0.64163765031832132</v>
      </c>
      <c r="B12" s="4">
        <f t="shared" si="3"/>
        <v>-0.12</v>
      </c>
      <c r="D12" s="4">
        <f t="shared" si="4"/>
        <v>0.67700988459139066</v>
      </c>
      <c r="E12" s="4">
        <f t="shared" si="5"/>
        <v>-0.04</v>
      </c>
      <c r="G12" s="4">
        <f t="shared" si="6"/>
        <v>0.64889813543599295</v>
      </c>
      <c r="H12" s="4">
        <f t="shared" si="7"/>
        <v>-0.08</v>
      </c>
      <c r="J12" s="4">
        <v>30.306999999999999</v>
      </c>
      <c r="K12" s="4">
        <v>-0.37</v>
      </c>
      <c r="M12" s="8" t="s">
        <v>35</v>
      </c>
      <c r="N12" s="8" t="s">
        <v>36</v>
      </c>
      <c r="O12" s="6">
        <f>O11-O8</f>
        <v>8.3999999999999631E-2</v>
      </c>
      <c r="P12" s="6">
        <f t="shared" ref="P12:V12" si="8">P11-P8</f>
        <v>0.1720000000000006</v>
      </c>
      <c r="Q12" s="6">
        <f t="shared" si="8"/>
        <v>0.28399999999999892</v>
      </c>
      <c r="R12" s="6">
        <f t="shared" si="8"/>
        <v>0.45199999999999818</v>
      </c>
      <c r="S12" s="6">
        <f t="shared" si="8"/>
        <v>0.41600000000000037</v>
      </c>
      <c r="T12" s="6">
        <f t="shared" si="8"/>
        <v>0.60700000000000287</v>
      </c>
      <c r="U12" s="6">
        <f t="shared" si="8"/>
        <v>0.66499999999999915</v>
      </c>
      <c r="V12" s="6">
        <f t="shared" si="8"/>
        <v>0.94699999999999918</v>
      </c>
    </row>
    <row r="13" spans="1:22" ht="15.6" x14ac:dyDescent="0.25">
      <c r="A13" s="4">
        <f t="shared" si="2"/>
        <v>0.59658166116482014</v>
      </c>
      <c r="B13" s="4">
        <f t="shared" si="3"/>
        <v>-0.09</v>
      </c>
      <c r="D13" s="4">
        <f t="shared" si="4"/>
        <v>0.65622576731129145</v>
      </c>
      <c r="E13" s="4">
        <f t="shared" si="5"/>
        <v>-0.14000000000000001</v>
      </c>
      <c r="G13" s="4">
        <f t="shared" si="6"/>
        <v>0.59738771490414322</v>
      </c>
      <c r="H13" s="4">
        <f t="shared" si="7"/>
        <v>-0.19</v>
      </c>
      <c r="J13" s="4">
        <v>30.242000000000001</v>
      </c>
      <c r="K13" s="4">
        <v>-0.44</v>
      </c>
      <c r="M13" s="8" t="s">
        <v>37</v>
      </c>
      <c r="N13" s="8" t="s">
        <v>38</v>
      </c>
      <c r="O13" s="6">
        <f>(O10+O12)*1.45/O9</f>
        <v>5.0941934306569195E-2</v>
      </c>
      <c r="P13" s="6">
        <f t="shared" ref="P13:V13" si="9">(P10+P12)*1.45/P9</f>
        <v>6.7049916013438002E-2</v>
      </c>
      <c r="Q13" s="6">
        <f t="shared" si="9"/>
        <v>0.11698963006049284</v>
      </c>
      <c r="R13" s="6">
        <f t="shared" si="9"/>
        <v>0.14955053191489306</v>
      </c>
      <c r="S13" s="6">
        <f t="shared" si="9"/>
        <v>0.19191447664603284</v>
      </c>
      <c r="T13" s="6">
        <f t="shared" si="9"/>
        <v>0.23024181089365817</v>
      </c>
      <c r="U13" s="6">
        <f t="shared" si="9"/>
        <v>0.22312144104803461</v>
      </c>
      <c r="V13" s="6">
        <f t="shared" si="9"/>
        <v>0.30680834260977097</v>
      </c>
    </row>
    <row r="14" spans="1:22" ht="15.6" x14ac:dyDescent="0.25">
      <c r="A14" s="4">
        <f t="shared" si="2"/>
        <v>0.57509342018391907</v>
      </c>
      <c r="B14" s="4">
        <f t="shared" si="3"/>
        <v>-0.34</v>
      </c>
      <c r="D14" s="4">
        <f t="shared" si="4"/>
        <v>0.64002638178415461</v>
      </c>
      <c r="E14" s="4">
        <f t="shared" si="5"/>
        <v>-0.06</v>
      </c>
      <c r="G14" s="4">
        <f t="shared" si="6"/>
        <v>0.58435860853432275</v>
      </c>
      <c r="H14" s="4">
        <f t="shared" si="7"/>
        <v>-0.23</v>
      </c>
      <c r="J14" s="4">
        <v>30.173999999999999</v>
      </c>
      <c r="K14" s="4">
        <v>-0.38</v>
      </c>
      <c r="M14" s="8" t="s">
        <v>2</v>
      </c>
      <c r="N14" s="8" t="s">
        <v>39</v>
      </c>
      <c r="O14" s="6">
        <v>-14.99</v>
      </c>
      <c r="P14" s="6">
        <v>-5.33</v>
      </c>
      <c r="Q14" s="6">
        <v>-0.83</v>
      </c>
      <c r="R14" s="6">
        <v>-0.42</v>
      </c>
      <c r="S14" s="6">
        <v>-0.37</v>
      </c>
      <c r="T14" s="6">
        <v>-0.15</v>
      </c>
      <c r="U14" s="6">
        <v>-2.8000000000000001E-2</v>
      </c>
      <c r="V14" s="6">
        <v>-2.3E-2</v>
      </c>
    </row>
    <row r="15" spans="1:22" x14ac:dyDescent="0.25">
      <c r="A15" s="4">
        <f t="shared" si="2"/>
        <v>0.55707102452251867</v>
      </c>
      <c r="B15" s="4">
        <f t="shared" si="3"/>
        <v>-0.06</v>
      </c>
      <c r="D15" s="4">
        <f t="shared" si="4"/>
        <v>0.62291004990642507</v>
      </c>
      <c r="E15" s="4">
        <f t="shared" si="5"/>
        <v>-0.1</v>
      </c>
      <c r="G15" s="4">
        <f t="shared" si="6"/>
        <v>0.56617846011131756</v>
      </c>
      <c r="H15" s="4">
        <f t="shared" si="7"/>
        <v>-0.28000000000000003</v>
      </c>
      <c r="J15" s="4">
        <v>30.126999999999999</v>
      </c>
      <c r="K15" s="4">
        <v>-0.39</v>
      </c>
    </row>
    <row r="16" spans="1:22" x14ac:dyDescent="0.25">
      <c r="A16" s="4">
        <f t="shared" si="2"/>
        <v>0.53870204432916768</v>
      </c>
      <c r="B16" s="4">
        <f t="shared" si="3"/>
        <v>-0.12</v>
      </c>
      <c r="D16" s="4">
        <f t="shared" si="4"/>
        <v>0.60701631316281945</v>
      </c>
      <c r="E16" s="4">
        <f t="shared" si="5"/>
        <v>-0.13</v>
      </c>
      <c r="G16" s="4">
        <f t="shared" si="6"/>
        <v>0.55042233147804509</v>
      </c>
      <c r="H16" s="4">
        <f t="shared" si="7"/>
        <v>-0.34</v>
      </c>
      <c r="J16" s="4">
        <v>30.065000000000001</v>
      </c>
      <c r="K16" s="4">
        <v>-0.42</v>
      </c>
    </row>
    <row r="17" spans="1:17" x14ac:dyDescent="0.25">
      <c r="A17" s="4">
        <f t="shared" si="2"/>
        <v>0.52171940226361724</v>
      </c>
      <c r="B17" s="4">
        <f t="shared" si="3"/>
        <v>-0.13</v>
      </c>
      <c r="D17" s="4">
        <f t="shared" si="4"/>
        <v>0.59112257641921384</v>
      </c>
      <c r="E17" s="4">
        <f t="shared" si="5"/>
        <v>-0.19</v>
      </c>
      <c r="G17" s="4">
        <f t="shared" si="6"/>
        <v>0.53618121521335838</v>
      </c>
      <c r="H17" s="4">
        <f t="shared" si="7"/>
        <v>-0.54</v>
      </c>
      <c r="J17" s="4">
        <v>29.994</v>
      </c>
      <c r="K17" s="4">
        <v>-0.43</v>
      </c>
    </row>
    <row r="18" spans="1:17" x14ac:dyDescent="0.25">
      <c r="A18" s="4">
        <f t="shared" si="2"/>
        <v>0.50265725300636677</v>
      </c>
      <c r="B18" s="4">
        <f t="shared" si="3"/>
        <v>-0.23</v>
      </c>
      <c r="D18" s="4">
        <f t="shared" si="4"/>
        <v>0.57553448845913946</v>
      </c>
      <c r="E18" s="4">
        <f t="shared" si="5"/>
        <v>-0.31</v>
      </c>
      <c r="G18" s="4">
        <f t="shared" si="6"/>
        <v>0.52042508658008702</v>
      </c>
      <c r="H18" s="4">
        <f t="shared" si="7"/>
        <v>-0.6</v>
      </c>
      <c r="J18" s="4">
        <v>29.928000000000001</v>
      </c>
      <c r="K18" s="4">
        <v>-0.49</v>
      </c>
    </row>
    <row r="19" spans="1:17" x14ac:dyDescent="0.25">
      <c r="A19" s="4">
        <f t="shared" si="2"/>
        <v>0.48567461094081632</v>
      </c>
      <c r="B19" s="4">
        <f t="shared" si="3"/>
        <v>-0.41</v>
      </c>
      <c r="D19" s="4">
        <f t="shared" si="4"/>
        <v>0.55750121023081722</v>
      </c>
      <c r="E19" s="4">
        <f t="shared" si="5"/>
        <v>-0.22</v>
      </c>
      <c r="G19" s="4">
        <f t="shared" si="6"/>
        <v>0.4973968985776131</v>
      </c>
      <c r="H19" s="4">
        <f t="shared" si="7"/>
        <v>-0.51</v>
      </c>
      <c r="J19" s="4">
        <v>29.855</v>
      </c>
      <c r="K19" s="4">
        <v>-0.52</v>
      </c>
    </row>
    <row r="20" spans="1:17" x14ac:dyDescent="0.25">
      <c r="A20" s="4">
        <f t="shared" si="2"/>
        <v>0.4530956649375148</v>
      </c>
      <c r="B20" s="4">
        <f t="shared" si="3"/>
        <v>-0.37</v>
      </c>
      <c r="D20" s="4">
        <f t="shared" si="4"/>
        <v>0.52846457579538397</v>
      </c>
      <c r="E20" s="4">
        <f t="shared" si="5"/>
        <v>-0.33</v>
      </c>
      <c r="G20" s="4">
        <f t="shared" si="6"/>
        <v>0.47255069573283859</v>
      </c>
      <c r="H20" s="4">
        <f t="shared" si="7"/>
        <v>-0.6</v>
      </c>
      <c r="J20" s="4">
        <v>29.777999999999999</v>
      </c>
      <c r="K20" s="4">
        <v>-0.5</v>
      </c>
    </row>
    <row r="21" spans="1:17" x14ac:dyDescent="0.25">
      <c r="A21" s="4">
        <f t="shared" si="2"/>
        <v>0.43056767036076476</v>
      </c>
      <c r="B21" s="4">
        <f t="shared" si="3"/>
        <v>-0.44</v>
      </c>
      <c r="D21" s="4">
        <f t="shared" si="4"/>
        <v>0.50859740486587646</v>
      </c>
      <c r="E21" s="4">
        <f t="shared" si="5"/>
        <v>-0.34</v>
      </c>
      <c r="G21" s="4">
        <f t="shared" si="6"/>
        <v>0.45618856215213299</v>
      </c>
      <c r="H21" s="4">
        <f t="shared" si="7"/>
        <v>-0.62</v>
      </c>
      <c r="J21" s="4">
        <v>29.716999999999999</v>
      </c>
      <c r="K21" s="4">
        <v>-0.6</v>
      </c>
    </row>
    <row r="22" spans="1:17" x14ac:dyDescent="0.25">
      <c r="A22" s="4">
        <f t="shared" si="2"/>
        <v>0.4069999221881635</v>
      </c>
      <c r="B22" s="4">
        <f t="shared" si="3"/>
        <v>-0.38</v>
      </c>
      <c r="D22" s="4">
        <f t="shared" si="4"/>
        <v>0.48720199001871478</v>
      </c>
      <c r="E22" s="4">
        <f t="shared" si="5"/>
        <v>-0.46</v>
      </c>
      <c r="G22" s="4">
        <f t="shared" si="6"/>
        <v>0.44225044836116223</v>
      </c>
      <c r="H22" s="4">
        <f t="shared" si="7"/>
        <v>-0.56999999999999995</v>
      </c>
      <c r="J22" s="4">
        <v>29.669</v>
      </c>
      <c r="K22" s="4">
        <v>-0.55000000000000004</v>
      </c>
    </row>
    <row r="23" spans="1:17" ht="14.4" x14ac:dyDescent="0.25">
      <c r="A23" s="4">
        <f t="shared" si="2"/>
        <v>0.39071044918651276</v>
      </c>
      <c r="B23" s="4">
        <f t="shared" si="3"/>
        <v>-0.39</v>
      </c>
      <c r="D23" s="4">
        <f t="shared" si="4"/>
        <v>0.46978000935745506</v>
      </c>
      <c r="E23" s="4">
        <f t="shared" si="5"/>
        <v>-0.38</v>
      </c>
      <c r="G23" s="4">
        <f t="shared" si="6"/>
        <v>0.42528230983302451</v>
      </c>
      <c r="H23" s="4">
        <f t="shared" si="7"/>
        <v>-0.65</v>
      </c>
      <c r="J23" s="7" t="s">
        <v>10</v>
      </c>
      <c r="K23" s="7" t="s">
        <v>11</v>
      </c>
      <c r="M23" s="4" t="s">
        <v>3</v>
      </c>
      <c r="N23" s="4" t="s">
        <v>12</v>
      </c>
      <c r="O23" s="4" t="s">
        <v>13</v>
      </c>
      <c r="P23" s="4" t="s">
        <v>14</v>
      </c>
      <c r="Q23" s="4" t="s">
        <v>15</v>
      </c>
    </row>
    <row r="24" spans="1:17" x14ac:dyDescent="0.25">
      <c r="A24" s="4">
        <f t="shared" si="2"/>
        <v>0.36922220820561286</v>
      </c>
      <c r="B24" s="4">
        <f t="shared" si="3"/>
        <v>-0.42</v>
      </c>
      <c r="D24" s="4">
        <f t="shared" si="4"/>
        <v>0.45144108234560165</v>
      </c>
      <c r="E24" s="4">
        <f t="shared" si="5"/>
        <v>-0.49</v>
      </c>
      <c r="G24" s="4">
        <f t="shared" si="6"/>
        <v>0.40861717377860168</v>
      </c>
      <c r="H24" s="4">
        <f t="shared" si="7"/>
        <v>-0.62</v>
      </c>
      <c r="J24" s="4">
        <v>31.49</v>
      </c>
      <c r="K24" s="4">
        <v>0.02</v>
      </c>
      <c r="M24" s="4">
        <f>J24</f>
        <v>31.49</v>
      </c>
      <c r="N24" s="4">
        <v>24.347999999999999</v>
      </c>
      <c r="O24" s="4">
        <v>29.157</v>
      </c>
      <c r="P24" s="4">
        <v>6.4992897306895545E-2</v>
      </c>
      <c r="Q24" s="4">
        <v>4.7440071026931054</v>
      </c>
    </row>
    <row r="25" spans="1:17" x14ac:dyDescent="0.25">
      <c r="A25" s="4">
        <f t="shared" si="2"/>
        <v>0.34461470643716147</v>
      </c>
      <c r="B25" s="4">
        <f t="shared" si="3"/>
        <v>-0.43</v>
      </c>
      <c r="D25" s="4">
        <f t="shared" si="4"/>
        <v>0.43554734560199598</v>
      </c>
      <c r="E25" s="4">
        <f t="shared" si="5"/>
        <v>-0.46</v>
      </c>
      <c r="G25" s="4">
        <f t="shared" si="6"/>
        <v>0.36710583487940662</v>
      </c>
      <c r="H25" s="4">
        <f t="shared" si="7"/>
        <v>-0.51</v>
      </c>
      <c r="J25" s="4">
        <v>31.396000000000001</v>
      </c>
      <c r="K25" s="4">
        <v>-0.03</v>
      </c>
    </row>
    <row r="26" spans="1:17" x14ac:dyDescent="0.25">
      <c r="A26" s="4">
        <f t="shared" si="2"/>
        <v>0.32174012732846108</v>
      </c>
      <c r="B26" s="4">
        <f t="shared" si="3"/>
        <v>-0.49</v>
      </c>
      <c r="D26" s="4">
        <f t="shared" si="4"/>
        <v>0.41323498440424172</v>
      </c>
      <c r="E26" s="4">
        <f t="shared" si="5"/>
        <v>-0.4</v>
      </c>
      <c r="G26" s="4">
        <f t="shared" si="6"/>
        <v>0.34468365182436594</v>
      </c>
      <c r="H26" s="4">
        <f t="shared" si="7"/>
        <v>-0.53</v>
      </c>
      <c r="J26" s="4">
        <v>31.306999999999999</v>
      </c>
      <c r="K26" s="4">
        <v>-0.04</v>
      </c>
    </row>
    <row r="27" spans="1:17" x14ac:dyDescent="0.25">
      <c r="A27" s="4">
        <f t="shared" si="2"/>
        <v>0.29643945649611003</v>
      </c>
      <c r="B27" s="4">
        <f t="shared" si="3"/>
        <v>-0.52</v>
      </c>
      <c r="D27" s="4">
        <f t="shared" si="4"/>
        <v>0.39306216469120397</v>
      </c>
      <c r="E27" s="4">
        <f t="shared" si="5"/>
        <v>-0.47</v>
      </c>
      <c r="G27" s="4">
        <f t="shared" si="6"/>
        <v>0.32165546382189208</v>
      </c>
      <c r="H27" s="4">
        <f t="shared" si="7"/>
        <v>-0.68</v>
      </c>
      <c r="J27" s="4">
        <v>31.239000000000001</v>
      </c>
      <c r="K27" s="4">
        <v>-0.14000000000000001</v>
      </c>
    </row>
    <row r="28" spans="1:17" x14ac:dyDescent="0.25">
      <c r="A28" s="4">
        <f t="shared" si="2"/>
        <v>0.26975244753595856</v>
      </c>
      <c r="B28" s="4">
        <f t="shared" si="3"/>
        <v>-0.5</v>
      </c>
      <c r="D28" s="4">
        <f t="shared" si="4"/>
        <v>0.37472323767935156</v>
      </c>
      <c r="E28" s="4">
        <f t="shared" si="5"/>
        <v>-0.53</v>
      </c>
      <c r="G28" s="4">
        <f t="shared" si="6"/>
        <v>0.30711134508348814</v>
      </c>
      <c r="H28" s="4">
        <f t="shared" si="7"/>
        <v>-0.53</v>
      </c>
      <c r="J28" s="4">
        <v>31.186</v>
      </c>
      <c r="K28" s="4">
        <v>-0.06</v>
      </c>
    </row>
    <row r="29" spans="1:17" x14ac:dyDescent="0.25">
      <c r="A29" s="4">
        <f t="shared" si="2"/>
        <v>0.24861079108700784</v>
      </c>
      <c r="B29" s="4">
        <f t="shared" si="3"/>
        <v>-0.6</v>
      </c>
      <c r="D29" s="4">
        <f t="shared" si="4"/>
        <v>0.35607866188396792</v>
      </c>
      <c r="E29" s="4">
        <f t="shared" si="5"/>
        <v>-0.39</v>
      </c>
      <c r="G29" s="4">
        <f t="shared" si="6"/>
        <v>0.28953720160791613</v>
      </c>
      <c r="H29" s="4">
        <f t="shared" si="7"/>
        <v>-0.55000000000000004</v>
      </c>
      <c r="J29" s="4">
        <v>31.13</v>
      </c>
      <c r="K29" s="4">
        <v>-0.1</v>
      </c>
    </row>
    <row r="30" spans="1:17" x14ac:dyDescent="0.25">
      <c r="A30" s="4">
        <f t="shared" si="2"/>
        <v>0.23197473355340789</v>
      </c>
      <c r="B30" s="4">
        <f t="shared" si="3"/>
        <v>-0.55000000000000004</v>
      </c>
      <c r="D30" s="4">
        <f t="shared" si="4"/>
        <v>0.34110187149095395</v>
      </c>
      <c r="E30" s="4">
        <f t="shared" si="5"/>
        <v>-0.53</v>
      </c>
      <c r="G30" s="4">
        <f t="shared" si="6"/>
        <v>0.27590209029066143</v>
      </c>
      <c r="H30" s="4">
        <f t="shared" si="7"/>
        <v>-0.61</v>
      </c>
      <c r="J30" s="4">
        <v>31.077999999999999</v>
      </c>
      <c r="K30" s="4">
        <v>-0.13</v>
      </c>
    </row>
    <row r="31" spans="1:17" x14ac:dyDescent="0.25">
      <c r="J31" s="4">
        <v>31.026</v>
      </c>
      <c r="K31" s="4">
        <v>-0.19</v>
      </c>
    </row>
    <row r="32" spans="1:17" x14ac:dyDescent="0.25">
      <c r="J32" s="4">
        <v>30.975000000000001</v>
      </c>
      <c r="K32" s="4">
        <v>-0.31</v>
      </c>
    </row>
    <row r="33" spans="10:17" x14ac:dyDescent="0.25">
      <c r="J33" s="4">
        <v>30.916</v>
      </c>
      <c r="K33" s="4">
        <v>-0.22</v>
      </c>
    </row>
    <row r="34" spans="10:17" x14ac:dyDescent="0.25">
      <c r="J34" s="4">
        <v>30.821000000000002</v>
      </c>
      <c r="K34" s="4">
        <v>-0.33</v>
      </c>
    </row>
    <row r="35" spans="10:17" x14ac:dyDescent="0.25">
      <c r="J35" s="4">
        <v>30.756</v>
      </c>
      <c r="K35" s="4">
        <v>-0.34</v>
      </c>
    </row>
    <row r="36" spans="10:17" x14ac:dyDescent="0.25">
      <c r="J36" s="4">
        <v>30.686</v>
      </c>
      <c r="K36" s="4">
        <v>-0.46</v>
      </c>
    </row>
    <row r="37" spans="10:17" x14ac:dyDescent="0.25">
      <c r="J37" s="4">
        <v>30.629000000000001</v>
      </c>
      <c r="K37" s="4">
        <v>-0.38</v>
      </c>
    </row>
    <row r="38" spans="10:17" x14ac:dyDescent="0.25">
      <c r="J38" s="4">
        <v>30.568999999999999</v>
      </c>
      <c r="K38" s="4">
        <v>-0.49</v>
      </c>
    </row>
    <row r="39" spans="10:17" x14ac:dyDescent="0.25">
      <c r="J39" s="4">
        <v>30.516999999999999</v>
      </c>
      <c r="K39" s="4">
        <v>-0.46</v>
      </c>
    </row>
    <row r="40" spans="10:17" x14ac:dyDescent="0.25">
      <c r="J40" s="4">
        <v>30.443999999999999</v>
      </c>
      <c r="K40" s="4">
        <v>-0.4</v>
      </c>
    </row>
    <row r="41" spans="10:17" x14ac:dyDescent="0.25">
      <c r="J41" s="4">
        <v>30.378</v>
      </c>
      <c r="K41" s="4">
        <v>-0.47</v>
      </c>
    </row>
    <row r="42" spans="10:17" x14ac:dyDescent="0.25">
      <c r="J42" s="4">
        <v>30.318000000000001</v>
      </c>
      <c r="K42" s="4">
        <v>-0.53</v>
      </c>
    </row>
    <row r="43" spans="10:17" x14ac:dyDescent="0.25">
      <c r="J43" s="4">
        <v>30.257000000000001</v>
      </c>
      <c r="K43" s="4">
        <v>-0.39</v>
      </c>
    </row>
    <row r="44" spans="10:17" x14ac:dyDescent="0.25">
      <c r="J44" s="4">
        <v>30.207999999999998</v>
      </c>
      <c r="K44" s="4">
        <v>-0.53</v>
      </c>
    </row>
    <row r="45" spans="10:17" ht="14.4" x14ac:dyDescent="0.25">
      <c r="J45" s="7" t="s">
        <v>40</v>
      </c>
      <c r="K45" s="7" t="s">
        <v>41</v>
      </c>
      <c r="M45" s="4" t="s">
        <v>3</v>
      </c>
      <c r="N45" s="4" t="s">
        <v>42</v>
      </c>
      <c r="O45" s="4" t="s">
        <v>43</v>
      </c>
      <c r="P45" s="4" t="s">
        <v>44</v>
      </c>
      <c r="Q45" s="4" t="s">
        <v>45</v>
      </c>
    </row>
    <row r="46" spans="10:17" x14ac:dyDescent="0.25">
      <c r="J46" s="4">
        <v>31.888999999999999</v>
      </c>
      <c r="K46" s="4">
        <v>0.13</v>
      </c>
      <c r="M46" s="4">
        <f>J46</f>
        <v>31.888999999999999</v>
      </c>
      <c r="N46" s="4">
        <v>24.789000000000001</v>
      </c>
      <c r="O46" s="4">
        <v>29.64</v>
      </c>
      <c r="P46" s="4">
        <v>6.5560520864160976E-2</v>
      </c>
      <c r="Q46" s="4">
        <v>4.7854394791358379</v>
      </c>
    </row>
    <row r="47" spans="10:17" x14ac:dyDescent="0.25">
      <c r="J47" s="4">
        <v>31.832999999999998</v>
      </c>
      <c r="K47" s="4">
        <v>-0.01</v>
      </c>
    </row>
    <row r="48" spans="10:17" x14ac:dyDescent="0.25">
      <c r="J48" s="4">
        <v>31.716000000000001</v>
      </c>
      <c r="K48" s="4">
        <v>-0.08</v>
      </c>
    </row>
    <row r="49" spans="10:11" x14ac:dyDescent="0.25">
      <c r="J49" s="4">
        <v>31.545999999999999</v>
      </c>
      <c r="K49" s="4">
        <v>-0.19</v>
      </c>
    </row>
    <row r="50" spans="10:11" x14ac:dyDescent="0.25">
      <c r="J50" s="4">
        <v>31.503</v>
      </c>
      <c r="K50" s="4">
        <v>-0.23</v>
      </c>
    </row>
    <row r="51" spans="10:11" x14ac:dyDescent="0.25">
      <c r="J51" s="4">
        <v>31.443000000000001</v>
      </c>
      <c r="K51" s="4">
        <v>-0.28000000000000003</v>
      </c>
    </row>
    <row r="52" spans="10:11" x14ac:dyDescent="0.25">
      <c r="J52" s="4">
        <v>31.390999999999998</v>
      </c>
      <c r="K52" s="4">
        <v>-0.34</v>
      </c>
    </row>
    <row r="53" spans="10:11" x14ac:dyDescent="0.25">
      <c r="J53" s="4">
        <v>31.344000000000001</v>
      </c>
      <c r="K53" s="4">
        <v>-0.54</v>
      </c>
    </row>
    <row r="54" spans="10:11" x14ac:dyDescent="0.25">
      <c r="J54" s="4">
        <v>31.292000000000002</v>
      </c>
      <c r="K54" s="4">
        <v>-0.6</v>
      </c>
    </row>
    <row r="55" spans="10:11" x14ac:dyDescent="0.25">
      <c r="J55" s="4">
        <v>31.216000000000001</v>
      </c>
      <c r="K55" s="4">
        <v>-0.51</v>
      </c>
    </row>
    <row r="56" spans="10:11" x14ac:dyDescent="0.25">
      <c r="J56" s="4">
        <v>31.134</v>
      </c>
      <c r="K56" s="4">
        <v>-0.6</v>
      </c>
    </row>
    <row r="57" spans="10:11" x14ac:dyDescent="0.25">
      <c r="J57" s="4">
        <v>31.08</v>
      </c>
      <c r="K57" s="4">
        <v>-0.62</v>
      </c>
    </row>
    <row r="58" spans="10:11" x14ac:dyDescent="0.25">
      <c r="J58" s="4">
        <v>31.033999999999999</v>
      </c>
      <c r="K58" s="4">
        <v>-0.56999999999999995</v>
      </c>
    </row>
    <row r="59" spans="10:11" x14ac:dyDescent="0.25">
      <c r="J59" s="4">
        <v>30.978000000000002</v>
      </c>
      <c r="K59" s="4">
        <v>-0.65</v>
      </c>
    </row>
    <row r="60" spans="10:11" x14ac:dyDescent="0.25">
      <c r="J60" s="4">
        <v>30.922999999999998</v>
      </c>
      <c r="K60" s="4">
        <v>-0.62</v>
      </c>
    </row>
    <row r="61" spans="10:11" x14ac:dyDescent="0.25">
      <c r="J61" s="4">
        <v>30.786000000000001</v>
      </c>
      <c r="K61" s="4">
        <v>-0.51</v>
      </c>
    </row>
    <row r="62" spans="10:11" x14ac:dyDescent="0.25">
      <c r="J62" s="4">
        <v>30.712</v>
      </c>
      <c r="K62" s="4">
        <v>-0.53</v>
      </c>
    </row>
    <row r="63" spans="10:11" x14ac:dyDescent="0.25">
      <c r="J63" s="4">
        <v>30.635999999999999</v>
      </c>
      <c r="K63" s="4">
        <v>-0.68</v>
      </c>
    </row>
    <row r="64" spans="10:11" x14ac:dyDescent="0.25">
      <c r="J64" s="4">
        <v>30.588000000000001</v>
      </c>
      <c r="K64" s="4">
        <v>-0.53</v>
      </c>
    </row>
    <row r="65" spans="10:11" x14ac:dyDescent="0.25">
      <c r="J65" s="4">
        <v>30.53</v>
      </c>
      <c r="K65" s="4">
        <v>-0.55000000000000004</v>
      </c>
    </row>
    <row r="66" spans="10:11" x14ac:dyDescent="0.25">
      <c r="J66" s="4">
        <v>30.484999999999999</v>
      </c>
      <c r="K66" s="4">
        <v>-0.61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workbookViewId="0">
      <selection activeCell="H18" sqref="A1:XFD1048576"/>
    </sheetView>
  </sheetViews>
  <sheetFormatPr defaultRowHeight="13.8" x14ac:dyDescent="0.25"/>
  <cols>
    <col min="1" max="1" width="23.77734375" style="1" customWidth="1"/>
    <col min="2" max="2" width="18.5546875" style="1" customWidth="1"/>
    <col min="3" max="3" width="4.88671875" style="1" customWidth="1"/>
    <col min="4" max="4" width="14.88671875" style="1" customWidth="1"/>
    <col min="5" max="5" width="11.33203125" style="1" customWidth="1"/>
    <col min="6" max="6" width="8.88671875" style="1"/>
    <col min="7" max="7" width="12.33203125" style="1" customWidth="1"/>
    <col min="8" max="8" width="8.88671875" style="1"/>
    <col min="9" max="9" width="21.109375" style="1" customWidth="1"/>
    <col min="10" max="10" width="14.109375" style="1" customWidth="1"/>
    <col min="11" max="11" width="13.77734375" style="1" customWidth="1"/>
    <col min="12" max="12" width="8.88671875" style="1"/>
    <col min="13" max="13" width="31.6640625" style="1" customWidth="1"/>
    <col min="14" max="16384" width="8.88671875" style="1"/>
  </cols>
  <sheetData>
    <row r="1" spans="1:22" ht="15.6" x14ac:dyDescent="0.25">
      <c r="A1" s="2" t="s">
        <v>0</v>
      </c>
      <c r="B1" s="1" t="s">
        <v>1</v>
      </c>
      <c r="D1" s="7" t="s">
        <v>46</v>
      </c>
      <c r="E1" s="7" t="s">
        <v>47</v>
      </c>
      <c r="F1" s="4"/>
      <c r="G1" s="4" t="s">
        <v>3</v>
      </c>
      <c r="H1" s="4" t="s">
        <v>48</v>
      </c>
      <c r="I1" s="4" t="s">
        <v>49</v>
      </c>
      <c r="J1" s="4" t="s">
        <v>50</v>
      </c>
      <c r="K1" s="4" t="s">
        <v>51</v>
      </c>
      <c r="M1" s="8" t="s">
        <v>16</v>
      </c>
      <c r="N1" s="8" t="s">
        <v>52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</row>
    <row r="2" spans="1:22" ht="15.6" x14ac:dyDescent="0.25">
      <c r="A2" s="1">
        <v>6.9687874646560816E-2</v>
      </c>
      <c r="B2" s="1">
        <v>-30.52</v>
      </c>
      <c r="D2" s="1">
        <v>31.196000000000002</v>
      </c>
      <c r="E2" s="1">
        <v>0</v>
      </c>
      <c r="F2" s="4"/>
      <c r="G2" s="4">
        <f>D2</f>
        <v>31.196000000000002</v>
      </c>
      <c r="H2" s="4">
        <v>24.388999999999999</v>
      </c>
      <c r="I2" s="4">
        <v>28.841999999999999</v>
      </c>
      <c r="J2" s="4">
        <v>0.10648950707662275</v>
      </c>
      <c r="K2" s="4">
        <v>4.3465104929233771</v>
      </c>
      <c r="M2" s="10" t="s">
        <v>26</v>
      </c>
      <c r="N2" s="10" t="s">
        <v>27</v>
      </c>
      <c r="O2" s="11">
        <v>24.710999999999999</v>
      </c>
      <c r="P2" s="5">
        <v>24.77</v>
      </c>
      <c r="Q2" s="5">
        <v>24.722999999999999</v>
      </c>
      <c r="R2" s="5">
        <v>24.398</v>
      </c>
      <c r="S2" s="5">
        <v>24.777000000000001</v>
      </c>
      <c r="T2" s="5">
        <v>24.388999999999999</v>
      </c>
      <c r="U2" s="5">
        <v>24.366</v>
      </c>
      <c r="V2" s="5">
        <v>24.303000000000001</v>
      </c>
    </row>
    <row r="3" spans="1:22" ht="15" customHeight="1" x14ac:dyDescent="0.25">
      <c r="A3" s="1">
        <v>0.11364853990486323</v>
      </c>
      <c r="B3" s="1">
        <v>-2.96</v>
      </c>
      <c r="D3" s="1">
        <v>31.138000000000002</v>
      </c>
      <c r="E3" s="1">
        <v>-0.01</v>
      </c>
      <c r="M3" s="10" t="s">
        <v>53</v>
      </c>
      <c r="N3" s="10" t="s">
        <v>27</v>
      </c>
      <c r="O3" s="11">
        <v>30.015999999999998</v>
      </c>
      <c r="P3" s="5">
        <v>28.553999999999998</v>
      </c>
      <c r="Q3" s="5">
        <v>28.815000000000001</v>
      </c>
      <c r="R3" s="5">
        <v>28.559000000000001</v>
      </c>
      <c r="S3" s="5">
        <v>28.873999999999999</v>
      </c>
      <c r="T3" s="5">
        <v>28.841999999999999</v>
      </c>
      <c r="U3" s="5">
        <v>29.245000000000001</v>
      </c>
      <c r="V3" s="5">
        <v>29.036999999999999</v>
      </c>
    </row>
    <row r="4" spans="1:22" ht="15.6" x14ac:dyDescent="0.25">
      <c r="A4" s="1">
        <v>0.12156347140762397</v>
      </c>
      <c r="B4" s="1">
        <v>-1.56</v>
      </c>
      <c r="D4" s="1">
        <v>30.895</v>
      </c>
      <c r="E4" s="1">
        <v>-0.1</v>
      </c>
      <c r="M4" s="8" t="s">
        <v>54</v>
      </c>
      <c r="N4" s="8" t="s">
        <v>55</v>
      </c>
      <c r="O4" s="6">
        <f>(O3-O2)/1.0245</f>
        <v>5.1781356759394823</v>
      </c>
      <c r="P4" s="6">
        <f t="shared" ref="P4:V4" si="0">(P3-P2)/1.0245</f>
        <v>3.6935090287945331</v>
      </c>
      <c r="Q4" s="6">
        <f t="shared" si="0"/>
        <v>3.9941434846266497</v>
      </c>
      <c r="R4" s="6">
        <f t="shared" si="0"/>
        <v>4.0614934114202068</v>
      </c>
      <c r="S4" s="6">
        <f t="shared" si="0"/>
        <v>3.999023914104439</v>
      </c>
      <c r="T4" s="6">
        <f t="shared" si="0"/>
        <v>4.3465104929233771</v>
      </c>
      <c r="U4" s="6">
        <f t="shared" si="0"/>
        <v>4.762323084431431</v>
      </c>
      <c r="V4" s="6">
        <f t="shared" si="0"/>
        <v>4.6207906295754011</v>
      </c>
    </row>
    <row r="5" spans="1:22" ht="15.6" x14ac:dyDescent="0.25">
      <c r="A5" s="1">
        <v>0.21795789473684177</v>
      </c>
      <c r="B5" s="1">
        <v>-0.27</v>
      </c>
      <c r="D5" s="1">
        <v>30.792999999999999</v>
      </c>
      <c r="E5" s="1">
        <v>-0.17</v>
      </c>
      <c r="M5" s="8" t="s">
        <v>32</v>
      </c>
      <c r="N5" s="8" t="s">
        <v>33</v>
      </c>
      <c r="O5" s="6">
        <f>O4*0.0245</f>
        <v>0.12686432406051731</v>
      </c>
      <c r="P5" s="6">
        <f t="shared" ref="P5:V5" si="1">P4*0.0245</f>
        <v>9.0490971205466064E-2</v>
      </c>
      <c r="Q5" s="6">
        <f t="shared" si="1"/>
        <v>9.7856515373352923E-2</v>
      </c>
      <c r="R5" s="6">
        <f t="shared" si="1"/>
        <v>9.9506588579795066E-2</v>
      </c>
      <c r="S5" s="6">
        <f t="shared" si="1"/>
        <v>9.7976085895558757E-2</v>
      </c>
      <c r="T5" s="6">
        <f t="shared" si="1"/>
        <v>0.10648950707662275</v>
      </c>
      <c r="U5" s="6">
        <f t="shared" si="1"/>
        <v>0.11667691556857006</v>
      </c>
      <c r="V5" s="6">
        <f t="shared" si="1"/>
        <v>0.11320937042459733</v>
      </c>
    </row>
    <row r="6" spans="1:22" ht="15.6" x14ac:dyDescent="0.25">
      <c r="A6" s="1">
        <v>0.28099740053697825</v>
      </c>
      <c r="B6" s="1">
        <v>-0.27</v>
      </c>
      <c r="D6" s="1">
        <v>30.7</v>
      </c>
      <c r="E6" s="1">
        <v>-0.22</v>
      </c>
      <c r="M6" s="8" t="s">
        <v>34</v>
      </c>
      <c r="N6" s="8" t="s">
        <v>27</v>
      </c>
      <c r="O6" s="6">
        <v>30.138000000000002</v>
      </c>
      <c r="P6" s="5">
        <v>28.753</v>
      </c>
      <c r="Q6" s="5">
        <v>29.052</v>
      </c>
      <c r="R6" s="5">
        <v>29.07</v>
      </c>
      <c r="S6" s="5">
        <v>29.550999999999998</v>
      </c>
      <c r="T6" s="5">
        <v>29.643000000000001</v>
      </c>
      <c r="U6" s="5">
        <v>30.222999999999999</v>
      </c>
      <c r="V6" s="5">
        <v>30.177</v>
      </c>
    </row>
    <row r="7" spans="1:22" ht="15.6" x14ac:dyDescent="0.25">
      <c r="A7" s="1">
        <v>0.30273935549068109</v>
      </c>
      <c r="B7" s="1">
        <v>-0.22</v>
      </c>
      <c r="D7" s="1">
        <v>30.661000000000001</v>
      </c>
      <c r="E7" s="1">
        <v>-0.2</v>
      </c>
      <c r="M7" s="8" t="s">
        <v>56</v>
      </c>
      <c r="N7" s="8" t="s">
        <v>57</v>
      </c>
      <c r="O7" s="6">
        <f>O6-O3</f>
        <v>0.12200000000000344</v>
      </c>
      <c r="P7" s="6">
        <f t="shared" ref="P7:V7" si="2">P6-P3</f>
        <v>0.19900000000000162</v>
      </c>
      <c r="Q7" s="6">
        <f t="shared" si="2"/>
        <v>0.23699999999999832</v>
      </c>
      <c r="R7" s="6">
        <f t="shared" si="2"/>
        <v>0.51099999999999923</v>
      </c>
      <c r="S7" s="6">
        <f t="shared" si="2"/>
        <v>0.6769999999999996</v>
      </c>
      <c r="T7" s="6">
        <f t="shared" si="2"/>
        <v>0.80100000000000193</v>
      </c>
      <c r="U7" s="6">
        <f t="shared" si="2"/>
        <v>0.97799999999999798</v>
      </c>
      <c r="V7" s="6">
        <f t="shared" si="2"/>
        <v>1.1400000000000006</v>
      </c>
    </row>
    <row r="8" spans="1:22" ht="15.6" x14ac:dyDescent="0.25">
      <c r="A8" s="1">
        <v>0.33329984115597389</v>
      </c>
      <c r="B8" s="1">
        <v>-0.08</v>
      </c>
      <c r="D8" s="1">
        <v>30.603000000000002</v>
      </c>
      <c r="E8" s="1">
        <v>-0.24</v>
      </c>
      <c r="M8" s="8" t="s">
        <v>37</v>
      </c>
      <c r="N8" s="8" t="s">
        <v>38</v>
      </c>
      <c r="O8" s="6">
        <f>(O5+O7)*1.45/O4</f>
        <v>6.9687874646560816E-2</v>
      </c>
      <c r="P8" s="6">
        <f t="shared" ref="P8:V8" si="3">(P5+P7)*1.45/P4</f>
        <v>0.11364853990486323</v>
      </c>
      <c r="Q8" s="6">
        <f t="shared" si="3"/>
        <v>0.12156347140762397</v>
      </c>
      <c r="R8" s="6">
        <f t="shared" si="3"/>
        <v>0.21795789473684177</v>
      </c>
      <c r="S8" s="6">
        <f t="shared" si="3"/>
        <v>0.28099740053697825</v>
      </c>
      <c r="T8" s="6">
        <f t="shared" si="3"/>
        <v>0.30273935549068109</v>
      </c>
      <c r="U8" s="6">
        <f t="shared" si="3"/>
        <v>0.33329984115597389</v>
      </c>
      <c r="V8" s="6">
        <f t="shared" si="3"/>
        <v>0.39325598859315619</v>
      </c>
    </row>
    <row r="9" spans="1:22" ht="15.6" x14ac:dyDescent="0.25">
      <c r="A9" s="1">
        <v>0.39325598859315619</v>
      </c>
      <c r="B9" s="1">
        <v>-7.0000000000000007E-2</v>
      </c>
      <c r="D9" s="1">
        <v>30.538</v>
      </c>
      <c r="E9" s="1">
        <v>-0.23</v>
      </c>
      <c r="M9" s="8" t="s">
        <v>58</v>
      </c>
      <c r="N9" s="8" t="s">
        <v>39</v>
      </c>
      <c r="O9" s="6">
        <v>-30.52</v>
      </c>
      <c r="P9" s="6">
        <v>-2.96</v>
      </c>
      <c r="Q9" s="6">
        <v>-1.56</v>
      </c>
      <c r="R9" s="6">
        <v>-0.27</v>
      </c>
      <c r="S9" s="6">
        <v>-0.27</v>
      </c>
      <c r="T9" s="6">
        <v>-0.22</v>
      </c>
      <c r="U9" s="6">
        <v>-0.08</v>
      </c>
      <c r="V9" s="6">
        <v>-7.0000000000000007E-2</v>
      </c>
    </row>
    <row r="10" spans="1:22" x14ac:dyDescent="0.25">
      <c r="A10" s="1">
        <f>(D2-$I$2+$J$2)/$K$2*1.45</f>
        <v>0.82082162025600813</v>
      </c>
      <c r="B10" s="1">
        <f>E2</f>
        <v>0</v>
      </c>
      <c r="D10" s="1">
        <v>30.501000000000001</v>
      </c>
      <c r="E10" s="1">
        <v>-0.26</v>
      </c>
    </row>
    <row r="11" spans="1:22" x14ac:dyDescent="0.25">
      <c r="A11" s="1">
        <f t="shared" ref="A11:A27" si="4">(D3-$I$2+$J$2)/$K$2*1.45</f>
        <v>0.80147276555131464</v>
      </c>
      <c r="B11" s="1">
        <f t="shared" ref="B11:B27" si="5">E3</f>
        <v>-0.01</v>
      </c>
      <c r="D11" s="1">
        <v>30.452999999999999</v>
      </c>
      <c r="E11" s="1">
        <v>-0.33</v>
      </c>
    </row>
    <row r="12" spans="1:22" x14ac:dyDescent="0.25">
      <c r="A12" s="1">
        <f t="shared" si="4"/>
        <v>0.7204077363575121</v>
      </c>
      <c r="B12" s="1">
        <f t="shared" si="5"/>
        <v>-0.1</v>
      </c>
      <c r="D12" s="1">
        <v>30.373999999999999</v>
      </c>
      <c r="E12" s="1">
        <v>-0.35</v>
      </c>
    </row>
    <row r="13" spans="1:22" x14ac:dyDescent="0.25">
      <c r="A13" s="1">
        <f t="shared" si="4"/>
        <v>0.68638044015270616</v>
      </c>
      <c r="B13" s="1">
        <f t="shared" si="5"/>
        <v>-0.17</v>
      </c>
      <c r="D13" s="1">
        <v>30.295999999999999</v>
      </c>
      <c r="E13" s="1">
        <v>-0.37</v>
      </c>
    </row>
    <row r="14" spans="1:22" x14ac:dyDescent="0.25">
      <c r="A14" s="1">
        <f t="shared" si="4"/>
        <v>0.65535555243655974</v>
      </c>
      <c r="B14" s="1">
        <f t="shared" si="5"/>
        <v>-0.22</v>
      </c>
      <c r="D14" s="1">
        <v>30.24</v>
      </c>
      <c r="E14" s="1">
        <v>-0.35</v>
      </c>
    </row>
    <row r="15" spans="1:22" x14ac:dyDescent="0.25">
      <c r="A15" s="1">
        <f t="shared" si="4"/>
        <v>0.64234511565237007</v>
      </c>
      <c r="B15" s="1">
        <f t="shared" si="5"/>
        <v>-0.2</v>
      </c>
      <c r="D15" s="1">
        <v>30.169</v>
      </c>
      <c r="E15" s="1">
        <v>-0.37</v>
      </c>
    </row>
    <row r="16" spans="1:22" x14ac:dyDescent="0.25">
      <c r="A16" s="1">
        <f t="shared" si="4"/>
        <v>0.62299626094767668</v>
      </c>
      <c r="B16" s="1">
        <f t="shared" si="5"/>
        <v>-0.24</v>
      </c>
      <c r="D16" s="1">
        <v>30.097000000000001</v>
      </c>
      <c r="E16" s="1">
        <v>-0.37</v>
      </c>
    </row>
    <row r="17" spans="1:11" x14ac:dyDescent="0.25">
      <c r="A17" s="1">
        <f t="shared" si="4"/>
        <v>0.60131219964069216</v>
      </c>
      <c r="B17" s="1">
        <f t="shared" si="5"/>
        <v>-0.23</v>
      </c>
      <c r="D17" s="1">
        <v>30.027999999999999</v>
      </c>
      <c r="E17" s="1">
        <v>-0.4</v>
      </c>
    </row>
    <row r="18" spans="1:11" x14ac:dyDescent="0.25">
      <c r="A18" s="1">
        <f t="shared" si="4"/>
        <v>0.58896896474287086</v>
      </c>
      <c r="B18" s="1">
        <f t="shared" si="5"/>
        <v>-0.26</v>
      </c>
      <c r="D18" s="1">
        <v>29.956</v>
      </c>
      <c r="E18" s="1">
        <v>-0.41</v>
      </c>
    </row>
    <row r="19" spans="1:11" x14ac:dyDescent="0.25">
      <c r="A19" s="1">
        <f t="shared" si="4"/>
        <v>0.57295611947002045</v>
      </c>
      <c r="B19" s="1">
        <f t="shared" si="5"/>
        <v>-0.33</v>
      </c>
      <c r="D19" s="1">
        <v>29.888000000000002</v>
      </c>
      <c r="E19" s="1">
        <v>-0.41</v>
      </c>
    </row>
    <row r="20" spans="1:11" x14ac:dyDescent="0.25">
      <c r="A20" s="1">
        <f t="shared" si="4"/>
        <v>0.54660164495845498</v>
      </c>
      <c r="B20" s="1">
        <f t="shared" si="5"/>
        <v>-0.35</v>
      </c>
    </row>
    <row r="21" spans="1:11" x14ac:dyDescent="0.25">
      <c r="A21" s="1">
        <f t="shared" si="4"/>
        <v>0.5205807713900743</v>
      </c>
      <c r="B21" s="1">
        <f t="shared" si="5"/>
        <v>-0.37</v>
      </c>
    </row>
    <row r="22" spans="1:11" x14ac:dyDescent="0.25">
      <c r="A22" s="1">
        <f t="shared" si="4"/>
        <v>0.50189911857174929</v>
      </c>
      <c r="B22" s="1">
        <f t="shared" si="5"/>
        <v>-0.35</v>
      </c>
    </row>
    <row r="23" spans="1:11" x14ac:dyDescent="0.25">
      <c r="A23" s="1">
        <f t="shared" si="4"/>
        <v>0.47821345160565965</v>
      </c>
      <c r="B23" s="1">
        <f t="shared" si="5"/>
        <v>-0.37</v>
      </c>
    </row>
    <row r="24" spans="1:11" x14ac:dyDescent="0.25">
      <c r="A24" s="1">
        <f t="shared" si="4"/>
        <v>0.45419418369638531</v>
      </c>
      <c r="B24" s="1">
        <f t="shared" si="5"/>
        <v>-0.37</v>
      </c>
    </row>
    <row r="25" spans="1:11" x14ac:dyDescent="0.25">
      <c r="A25" s="1">
        <f t="shared" si="4"/>
        <v>0.43117571861666293</v>
      </c>
      <c r="B25" s="1">
        <f t="shared" si="5"/>
        <v>-0.4</v>
      </c>
    </row>
    <row r="26" spans="1:11" x14ac:dyDescent="0.25">
      <c r="A26" s="1">
        <f t="shared" si="4"/>
        <v>0.40715645070738854</v>
      </c>
      <c r="B26" s="1">
        <f t="shared" si="5"/>
        <v>-0.41</v>
      </c>
    </row>
    <row r="27" spans="1:11" x14ac:dyDescent="0.25">
      <c r="A27" s="1">
        <f t="shared" si="4"/>
        <v>0.38447158657085212</v>
      </c>
      <c r="B27" s="1">
        <f t="shared" si="5"/>
        <v>-0.41</v>
      </c>
    </row>
    <row r="29" spans="1:11" ht="15.6" x14ac:dyDescent="0.25">
      <c r="A29" s="2" t="s">
        <v>0</v>
      </c>
      <c r="B29" s="1" t="s">
        <v>1</v>
      </c>
      <c r="D29" s="7" t="s">
        <v>59</v>
      </c>
      <c r="E29" s="7" t="s">
        <v>60</v>
      </c>
      <c r="F29" s="4"/>
      <c r="G29" s="4" t="s">
        <v>3</v>
      </c>
      <c r="H29" s="4" t="s">
        <v>61</v>
      </c>
      <c r="I29" s="4" t="s">
        <v>62</v>
      </c>
      <c r="J29" s="4" t="s">
        <v>63</v>
      </c>
      <c r="K29" s="4" t="s">
        <v>64</v>
      </c>
    </row>
    <row r="30" spans="1:11" x14ac:dyDescent="0.25">
      <c r="A30" s="1">
        <v>6.9687874646560816E-2</v>
      </c>
      <c r="B30" s="1">
        <v>-30.52</v>
      </c>
      <c r="D30" s="1">
        <v>31.748000000000001</v>
      </c>
      <c r="E30" s="1">
        <v>0</v>
      </c>
      <c r="F30" s="4"/>
      <c r="G30" s="4">
        <f>D30</f>
        <v>31.748000000000001</v>
      </c>
      <c r="H30" s="4">
        <v>24.366</v>
      </c>
      <c r="I30" s="4">
        <v>29.245000000000001</v>
      </c>
      <c r="J30" s="4">
        <v>0.11667691556857006</v>
      </c>
      <c r="K30" s="4">
        <v>4.762323084431431</v>
      </c>
    </row>
    <row r="31" spans="1:11" x14ac:dyDescent="0.25">
      <c r="A31" s="1">
        <v>0.11364853990486323</v>
      </c>
      <c r="B31" s="1">
        <v>-2.96</v>
      </c>
      <c r="D31" s="1">
        <v>31.529</v>
      </c>
      <c r="E31" s="1">
        <v>-0.1</v>
      </c>
    </row>
    <row r="32" spans="1:11" x14ac:dyDescent="0.25">
      <c r="A32" s="1">
        <v>0.12156347140762397</v>
      </c>
      <c r="B32" s="1">
        <v>-1.56</v>
      </c>
      <c r="D32" s="1">
        <v>31.471</v>
      </c>
      <c r="E32" s="1">
        <v>-0.14000000000000001</v>
      </c>
    </row>
    <row r="33" spans="1:5" x14ac:dyDescent="0.25">
      <c r="A33" s="1">
        <v>0.21795789473684177</v>
      </c>
      <c r="B33" s="1">
        <v>-0.27</v>
      </c>
      <c r="D33" s="1">
        <v>31.155999999999999</v>
      </c>
      <c r="E33" s="1">
        <v>-0.3</v>
      </c>
    </row>
    <row r="34" spans="1:5" x14ac:dyDescent="0.25">
      <c r="A34" s="1">
        <v>0.28099740053697825</v>
      </c>
      <c r="B34" s="1">
        <v>-0.27</v>
      </c>
      <c r="D34" s="1">
        <v>31.093</v>
      </c>
      <c r="E34" s="1">
        <v>-0.25</v>
      </c>
    </row>
    <row r="35" spans="1:5" x14ac:dyDescent="0.25">
      <c r="A35" s="1">
        <v>0.30273935549068109</v>
      </c>
      <c r="B35" s="1">
        <v>-0.22</v>
      </c>
      <c r="D35" s="1">
        <v>31.007999999999999</v>
      </c>
      <c r="E35" s="1">
        <v>-0.35</v>
      </c>
    </row>
    <row r="36" spans="1:5" x14ac:dyDescent="0.25">
      <c r="A36" s="1">
        <v>0.33329984115597389</v>
      </c>
      <c r="B36" s="1">
        <v>-0.08</v>
      </c>
      <c r="D36" s="1">
        <v>30.942</v>
      </c>
      <c r="E36" s="1">
        <v>-0.37</v>
      </c>
    </row>
    <row r="37" spans="1:5" x14ac:dyDescent="0.25">
      <c r="A37" s="1">
        <v>0.39325598859315619</v>
      </c>
      <c r="B37" s="1">
        <v>-7.0000000000000007E-2</v>
      </c>
      <c r="D37" s="1">
        <v>30.890999999999998</v>
      </c>
      <c r="E37" s="1">
        <v>-0.33</v>
      </c>
    </row>
    <row r="38" spans="1:5" x14ac:dyDescent="0.25">
      <c r="A38" s="1">
        <f>(D30-$I$30+$J$30)/$K$30*1.45</f>
        <v>0.79762155154744796</v>
      </c>
      <c r="B38" s="1">
        <f>E30</f>
        <v>0</v>
      </c>
      <c r="D38" s="1">
        <v>30.847000000000001</v>
      </c>
      <c r="E38" s="1">
        <v>-0.33</v>
      </c>
    </row>
    <row r="39" spans="1:5" x14ac:dyDescent="0.25">
      <c r="A39" s="1">
        <f t="shared" ref="A39:A59" si="6">(D31-$I$30+$J$30)/$K$30*1.45</f>
        <v>0.73094190920270485</v>
      </c>
      <c r="B39" s="1">
        <f t="shared" ref="B39:B59" si="7">E31</f>
        <v>-0.1</v>
      </c>
      <c r="D39" s="1">
        <v>30.783000000000001</v>
      </c>
      <c r="E39" s="1">
        <v>-0.28999999999999998</v>
      </c>
    </row>
    <row r="40" spans="1:5" x14ac:dyDescent="0.25">
      <c r="A40" s="1">
        <f t="shared" si="6"/>
        <v>0.71328246054519318</v>
      </c>
      <c r="B40" s="1">
        <f t="shared" si="7"/>
        <v>-0.14000000000000001</v>
      </c>
      <c r="D40" s="1">
        <v>30.701000000000001</v>
      </c>
      <c r="E40" s="1">
        <v>-0.34</v>
      </c>
    </row>
    <row r="41" spans="1:5" x14ac:dyDescent="0.25">
      <c r="A41" s="1">
        <f t="shared" si="6"/>
        <v>0.61737338593974089</v>
      </c>
      <c r="B41" s="1">
        <f t="shared" si="7"/>
        <v>-0.3</v>
      </c>
      <c r="D41" s="1">
        <v>30.622</v>
      </c>
      <c r="E41" s="1">
        <v>-0.4</v>
      </c>
    </row>
    <row r="42" spans="1:5" x14ac:dyDescent="0.25">
      <c r="A42" s="1">
        <f t="shared" si="6"/>
        <v>0.59819157101865084</v>
      </c>
      <c r="B42" s="1">
        <f t="shared" si="7"/>
        <v>-0.25</v>
      </c>
      <c r="D42" s="1">
        <v>30.567</v>
      </c>
      <c r="E42" s="1">
        <v>-0.4</v>
      </c>
    </row>
    <row r="43" spans="1:5" x14ac:dyDescent="0.25">
      <c r="A43" s="1">
        <f t="shared" si="6"/>
        <v>0.5723113445378144</v>
      </c>
      <c r="B43" s="1">
        <f t="shared" si="7"/>
        <v>-0.35</v>
      </c>
      <c r="D43" s="1">
        <v>30.472000000000001</v>
      </c>
      <c r="E43" s="1">
        <v>-0.38</v>
      </c>
    </row>
    <row r="44" spans="1:5" x14ac:dyDescent="0.25">
      <c r="A44" s="1">
        <f t="shared" si="6"/>
        <v>0.55221610985857716</v>
      </c>
      <c r="B44" s="1">
        <f t="shared" si="7"/>
        <v>-0.37</v>
      </c>
      <c r="D44" s="1">
        <v>30.335999999999999</v>
      </c>
      <c r="E44" s="1">
        <v>-0.44</v>
      </c>
    </row>
    <row r="45" spans="1:5" x14ac:dyDescent="0.25">
      <c r="A45" s="1">
        <f t="shared" si="6"/>
        <v>0.53668797397007495</v>
      </c>
      <c r="B45" s="1">
        <f t="shared" si="7"/>
        <v>-0.33</v>
      </c>
      <c r="D45" s="1">
        <v>30.300999999999998</v>
      </c>
      <c r="E45" s="1">
        <v>-0.43</v>
      </c>
    </row>
    <row r="46" spans="1:5" x14ac:dyDescent="0.25">
      <c r="A46" s="1">
        <f t="shared" si="6"/>
        <v>0.52329115085058409</v>
      </c>
      <c r="B46" s="1">
        <f t="shared" si="7"/>
        <v>-0.33</v>
      </c>
      <c r="D46" s="1">
        <v>30.218</v>
      </c>
      <c r="E46" s="1">
        <v>-0.43</v>
      </c>
    </row>
    <row r="47" spans="1:5" x14ac:dyDescent="0.25">
      <c r="A47" s="1">
        <f t="shared" si="6"/>
        <v>0.50380486267677804</v>
      </c>
      <c r="B47" s="1">
        <f t="shared" si="7"/>
        <v>-0.28999999999999998</v>
      </c>
      <c r="D47" s="1">
        <v>30.17</v>
      </c>
      <c r="E47" s="1">
        <v>-0.45</v>
      </c>
    </row>
    <row r="48" spans="1:5" x14ac:dyDescent="0.25">
      <c r="A48" s="1">
        <f t="shared" si="6"/>
        <v>0.47883805595408874</v>
      </c>
      <c r="B48" s="1">
        <f t="shared" si="7"/>
        <v>-0.34</v>
      </c>
      <c r="D48" s="1">
        <v>30.131</v>
      </c>
      <c r="E48" s="1">
        <v>-0.47</v>
      </c>
    </row>
    <row r="49" spans="1:11" x14ac:dyDescent="0.25">
      <c r="A49" s="1">
        <f t="shared" si="6"/>
        <v>0.45478466898954661</v>
      </c>
      <c r="B49" s="1">
        <f t="shared" si="7"/>
        <v>-0.4</v>
      </c>
      <c r="D49" s="1">
        <v>30.094999999999999</v>
      </c>
      <c r="E49" s="1">
        <v>-0.47</v>
      </c>
    </row>
    <row r="50" spans="1:11" x14ac:dyDescent="0.25">
      <c r="A50" s="1">
        <f t="shared" si="6"/>
        <v>0.43803864009018206</v>
      </c>
      <c r="B50" s="1">
        <f t="shared" si="7"/>
        <v>-0.4</v>
      </c>
      <c r="D50" s="1">
        <v>30.050999999999998</v>
      </c>
      <c r="E50" s="1">
        <v>-0.46</v>
      </c>
    </row>
    <row r="51" spans="1:11" x14ac:dyDescent="0.25">
      <c r="A51" s="1">
        <f t="shared" si="6"/>
        <v>0.40911368108218898</v>
      </c>
      <c r="B51" s="1">
        <f t="shared" si="7"/>
        <v>-0.38</v>
      </c>
      <c r="D51" s="1">
        <v>30.013000000000002</v>
      </c>
      <c r="E51" s="1">
        <v>-0.47</v>
      </c>
    </row>
    <row r="52" spans="1:11" x14ac:dyDescent="0.25">
      <c r="A52" s="1">
        <f t="shared" si="6"/>
        <v>0.36770531871285012</v>
      </c>
      <c r="B52" s="1">
        <f t="shared" si="7"/>
        <v>-0.44</v>
      </c>
    </row>
    <row r="53" spans="1:11" x14ac:dyDescent="0.25">
      <c r="A53" s="1">
        <f t="shared" si="6"/>
        <v>0.35704875486779991</v>
      </c>
      <c r="B53" s="1">
        <f t="shared" si="7"/>
        <v>-0.43</v>
      </c>
    </row>
    <row r="54" spans="1:11" x14ac:dyDescent="0.25">
      <c r="A54" s="1">
        <f t="shared" si="6"/>
        <v>0.33177747489239562</v>
      </c>
      <c r="B54" s="1">
        <f t="shared" si="7"/>
        <v>-0.43</v>
      </c>
    </row>
    <row r="55" spans="1:11" x14ac:dyDescent="0.25">
      <c r="A55" s="1">
        <f t="shared" si="6"/>
        <v>0.31716275876204153</v>
      </c>
      <c r="B55" s="1">
        <f t="shared" si="7"/>
        <v>-0.45</v>
      </c>
    </row>
    <row r="56" spans="1:11" x14ac:dyDescent="0.25">
      <c r="A56" s="1">
        <f t="shared" si="6"/>
        <v>0.30528830190612799</v>
      </c>
      <c r="B56" s="1">
        <f t="shared" si="7"/>
        <v>-0.47</v>
      </c>
    </row>
    <row r="57" spans="1:11" x14ac:dyDescent="0.25">
      <c r="A57" s="1">
        <f t="shared" si="6"/>
        <v>0.29432726480836163</v>
      </c>
      <c r="B57" s="1">
        <f t="shared" si="7"/>
        <v>-0.47</v>
      </c>
    </row>
    <row r="58" spans="1:11" x14ac:dyDescent="0.25">
      <c r="A58" s="1">
        <f t="shared" si="6"/>
        <v>0.28093044168886983</v>
      </c>
      <c r="B58" s="1">
        <f t="shared" si="7"/>
        <v>-0.46</v>
      </c>
    </row>
    <row r="59" spans="1:11" x14ac:dyDescent="0.25">
      <c r="A59" s="1">
        <f t="shared" si="6"/>
        <v>0.26936045808567344</v>
      </c>
      <c r="B59" s="1">
        <f t="shared" si="7"/>
        <v>-0.47</v>
      </c>
    </row>
    <row r="61" spans="1:11" ht="15.6" x14ac:dyDescent="0.25">
      <c r="A61" s="2" t="s">
        <v>0</v>
      </c>
      <c r="B61" s="1" t="s">
        <v>1</v>
      </c>
      <c r="D61" s="7" t="s">
        <v>65</v>
      </c>
      <c r="E61" s="7" t="s">
        <v>66</v>
      </c>
      <c r="F61" s="4"/>
      <c r="G61" s="4" t="s">
        <v>3</v>
      </c>
      <c r="H61" s="4" t="s">
        <v>67</v>
      </c>
      <c r="I61" s="4" t="s">
        <v>68</v>
      </c>
      <c r="J61" s="4" t="s">
        <v>69</v>
      </c>
      <c r="K61" s="4" t="s">
        <v>70</v>
      </c>
    </row>
    <row r="62" spans="1:11" x14ac:dyDescent="0.25">
      <c r="A62" s="1">
        <v>6.9687874646560816E-2</v>
      </c>
      <c r="B62" s="1">
        <v>-30.52</v>
      </c>
      <c r="D62" s="1">
        <v>31.57</v>
      </c>
      <c r="E62" s="1">
        <v>-0.02</v>
      </c>
      <c r="F62" s="4"/>
      <c r="G62" s="4">
        <f>D62</f>
        <v>31.57</v>
      </c>
      <c r="H62" s="4">
        <v>24.303000000000001</v>
      </c>
      <c r="I62" s="4">
        <v>29.036999999999999</v>
      </c>
      <c r="J62" s="4">
        <v>0.11320937042459733</v>
      </c>
      <c r="K62" s="4">
        <v>4.6207906295754011</v>
      </c>
    </row>
    <row r="63" spans="1:11" x14ac:dyDescent="0.25">
      <c r="A63" s="1">
        <v>0.11364853990486323</v>
      </c>
      <c r="B63" s="1">
        <v>-2.96</v>
      </c>
      <c r="D63" s="1">
        <v>31.398</v>
      </c>
      <c r="E63" s="1">
        <v>-0.04</v>
      </c>
    </row>
    <row r="64" spans="1:11" x14ac:dyDescent="0.25">
      <c r="A64" s="1">
        <v>0.12156347140762397</v>
      </c>
      <c r="B64" s="1">
        <v>-1.56</v>
      </c>
      <c r="D64" s="1">
        <v>31.309000000000001</v>
      </c>
      <c r="E64" s="1">
        <v>-0.06</v>
      </c>
    </row>
    <row r="65" spans="1:5" x14ac:dyDescent="0.25">
      <c r="A65" s="1">
        <v>0.21795789473684177</v>
      </c>
      <c r="B65" s="1">
        <v>-0.27</v>
      </c>
      <c r="D65" s="1">
        <v>31.206</v>
      </c>
      <c r="E65" s="1">
        <v>-0.11</v>
      </c>
    </row>
    <row r="66" spans="1:5" x14ac:dyDescent="0.25">
      <c r="A66" s="1">
        <v>0.28099740053697825</v>
      </c>
      <c r="B66" s="1">
        <v>-0.27</v>
      </c>
      <c r="D66" s="1">
        <v>31.105</v>
      </c>
      <c r="E66" s="1">
        <v>-0.14000000000000001</v>
      </c>
    </row>
    <row r="67" spans="1:5" x14ac:dyDescent="0.25">
      <c r="A67" s="1">
        <v>0.30273935549068109</v>
      </c>
      <c r="B67" s="1">
        <v>-0.22</v>
      </c>
      <c r="D67" s="1">
        <v>31.053000000000001</v>
      </c>
      <c r="E67" s="1">
        <v>-0.18</v>
      </c>
    </row>
    <row r="68" spans="1:5" x14ac:dyDescent="0.25">
      <c r="A68" s="1">
        <v>0.33329984115597389</v>
      </c>
      <c r="B68" s="1">
        <v>-0.08</v>
      </c>
      <c r="D68" s="1">
        <v>30.978999999999999</v>
      </c>
      <c r="E68" s="1">
        <v>-0.19</v>
      </c>
    </row>
    <row r="69" spans="1:5" x14ac:dyDescent="0.25">
      <c r="A69" s="1">
        <v>0.39325598859315619</v>
      </c>
      <c r="B69" s="1">
        <v>-7.0000000000000007E-2</v>
      </c>
      <c r="D69" s="1">
        <v>30.934999999999999</v>
      </c>
      <c r="E69" s="1">
        <v>-0.19</v>
      </c>
    </row>
    <row r="70" spans="1:5" x14ac:dyDescent="0.25">
      <c r="A70" s="1">
        <f>(D62-$I$62+$J$62)/$K$62*1.45</f>
        <v>0.83037815272496884</v>
      </c>
      <c r="B70" s="1">
        <f>E62</f>
        <v>-0.02</v>
      </c>
      <c r="D70" s="1">
        <v>30.891999999999999</v>
      </c>
      <c r="E70" s="1">
        <v>-0.22</v>
      </c>
    </row>
    <row r="71" spans="1:5" x14ac:dyDescent="0.25">
      <c r="A71" s="1">
        <f t="shared" ref="A71:A91" si="8">(D63-$I$62+$J$62)/$K$62*1.45</f>
        <v>0.77640470532319428</v>
      </c>
      <c r="B71" s="1">
        <f t="shared" ref="B71:B91" si="9">E63</f>
        <v>-0.04</v>
      </c>
      <c r="D71" s="1">
        <v>30.8</v>
      </c>
      <c r="E71" s="1">
        <v>-0.34</v>
      </c>
    </row>
    <row r="72" spans="1:5" x14ac:dyDescent="0.25">
      <c r="A72" s="1">
        <f t="shared" si="8"/>
        <v>0.74847658428390451</v>
      </c>
      <c r="B72" s="1">
        <f t="shared" si="9"/>
        <v>-0.06</v>
      </c>
      <c r="D72" s="1">
        <v>30.722000000000001</v>
      </c>
      <c r="E72" s="1">
        <v>-0.42</v>
      </c>
    </row>
    <row r="73" spans="1:5" x14ac:dyDescent="0.25">
      <c r="A73" s="1">
        <f t="shared" si="8"/>
        <v>0.71615527566539949</v>
      </c>
      <c r="B73" s="1">
        <f t="shared" si="9"/>
        <v>-0.11</v>
      </c>
      <c r="D73" s="1">
        <v>30.661000000000001</v>
      </c>
      <c r="E73" s="1">
        <v>-0.45</v>
      </c>
    </row>
    <row r="74" spans="1:5" x14ac:dyDescent="0.25">
      <c r="A74" s="1">
        <f t="shared" si="8"/>
        <v>0.68446156527249735</v>
      </c>
      <c r="B74" s="1">
        <f t="shared" si="9"/>
        <v>-0.14000000000000001</v>
      </c>
      <c r="D74" s="1">
        <v>30.640999999999998</v>
      </c>
      <c r="E74" s="1">
        <v>-0.45</v>
      </c>
    </row>
    <row r="75" spans="1:5" x14ac:dyDescent="0.25">
      <c r="A75" s="1">
        <f t="shared" si="8"/>
        <v>0.66814401140684476</v>
      </c>
      <c r="B75" s="1">
        <f t="shared" si="9"/>
        <v>-0.18</v>
      </c>
      <c r="D75" s="1">
        <v>30.568000000000001</v>
      </c>
      <c r="E75" s="1">
        <v>-0.46</v>
      </c>
    </row>
    <row r="76" spans="1:5" x14ac:dyDescent="0.25">
      <c r="A76" s="1">
        <f t="shared" si="8"/>
        <v>0.64492287705956919</v>
      </c>
      <c r="B76" s="1">
        <f t="shared" si="9"/>
        <v>-0.19</v>
      </c>
      <c r="D76" s="1">
        <v>30.419</v>
      </c>
      <c r="E76" s="1">
        <v>-0.32</v>
      </c>
    </row>
    <row r="77" spans="1:5" x14ac:dyDescent="0.25">
      <c r="A77" s="1">
        <f t="shared" si="8"/>
        <v>0.63111571609632444</v>
      </c>
      <c r="B77" s="1">
        <f t="shared" si="9"/>
        <v>-0.19</v>
      </c>
      <c r="D77" s="1">
        <v>30.337</v>
      </c>
      <c r="E77" s="1">
        <v>-0.49</v>
      </c>
    </row>
    <row r="78" spans="1:5" x14ac:dyDescent="0.25">
      <c r="A78" s="1">
        <f t="shared" si="8"/>
        <v>0.61762235424588119</v>
      </c>
      <c r="B78" s="1">
        <f t="shared" si="9"/>
        <v>-0.22</v>
      </c>
      <c r="D78" s="1">
        <v>30.26</v>
      </c>
      <c r="E78" s="1">
        <v>-0.55000000000000004</v>
      </c>
    </row>
    <row r="79" spans="1:5" x14ac:dyDescent="0.25">
      <c r="A79" s="1">
        <f t="shared" si="8"/>
        <v>0.58875283586818827</v>
      </c>
      <c r="B79" s="1">
        <f t="shared" si="9"/>
        <v>-0.34</v>
      </c>
      <c r="D79" s="1">
        <v>30.213000000000001</v>
      </c>
      <c r="E79" s="1">
        <v>-0.52</v>
      </c>
    </row>
    <row r="80" spans="1:5" x14ac:dyDescent="0.25">
      <c r="A80" s="1">
        <f t="shared" si="8"/>
        <v>0.56427650506970939</v>
      </c>
      <c r="B80" s="1">
        <f t="shared" si="9"/>
        <v>-0.42</v>
      </c>
      <c r="D80" s="1">
        <v>30.173999999999999</v>
      </c>
      <c r="E80" s="1">
        <v>-0.56999999999999995</v>
      </c>
    </row>
    <row r="81" spans="1:5" x14ac:dyDescent="0.25">
      <c r="A81" s="1">
        <f t="shared" si="8"/>
        <v>0.54513475918884757</v>
      </c>
      <c r="B81" s="1">
        <f t="shared" si="9"/>
        <v>-0.45</v>
      </c>
      <c r="D81" s="1">
        <v>30.134</v>
      </c>
      <c r="E81" s="1">
        <v>-0.53</v>
      </c>
    </row>
    <row r="82" spans="1:5" x14ac:dyDescent="0.25">
      <c r="A82" s="1">
        <f t="shared" si="8"/>
        <v>0.53885877693282636</v>
      </c>
      <c r="B82" s="1">
        <f t="shared" si="9"/>
        <v>-0.45</v>
      </c>
      <c r="D82" s="1">
        <v>30.074999999999999</v>
      </c>
      <c r="E82" s="1">
        <v>-0.53</v>
      </c>
    </row>
    <row r="83" spans="1:5" x14ac:dyDescent="0.25">
      <c r="A83" s="1">
        <f t="shared" si="8"/>
        <v>0.51595144169835316</v>
      </c>
      <c r="B83" s="1">
        <f t="shared" si="9"/>
        <v>-0.46</v>
      </c>
      <c r="D83" s="1">
        <v>30.029</v>
      </c>
      <c r="E83" s="1">
        <v>-0.56999999999999995</v>
      </c>
    </row>
    <row r="84" spans="1:5" x14ac:dyDescent="0.25">
      <c r="A84" s="1">
        <f t="shared" si="8"/>
        <v>0.46919537389100185</v>
      </c>
      <c r="B84" s="1">
        <f t="shared" si="9"/>
        <v>-0.32</v>
      </c>
    </row>
    <row r="85" spans="1:5" x14ac:dyDescent="0.25">
      <c r="A85" s="1">
        <f t="shared" si="8"/>
        <v>0.44346384664131844</v>
      </c>
      <c r="B85" s="1">
        <f t="shared" si="9"/>
        <v>-0.49</v>
      </c>
    </row>
    <row r="86" spans="1:5" x14ac:dyDescent="0.25">
      <c r="A86" s="1">
        <f t="shared" si="8"/>
        <v>0.41930131495564099</v>
      </c>
      <c r="B86" s="1">
        <f t="shared" si="9"/>
        <v>-0.55000000000000004</v>
      </c>
    </row>
    <row r="87" spans="1:5" x14ac:dyDescent="0.25">
      <c r="A87" s="1">
        <f t="shared" si="8"/>
        <v>0.4045527566539931</v>
      </c>
      <c r="B87" s="1">
        <f t="shared" si="9"/>
        <v>-0.52</v>
      </c>
    </row>
    <row r="88" spans="1:5" x14ac:dyDescent="0.25">
      <c r="A88" s="1">
        <f t="shared" si="8"/>
        <v>0.3923145912547531</v>
      </c>
      <c r="B88" s="1">
        <f t="shared" si="9"/>
        <v>-0.56999999999999995</v>
      </c>
    </row>
    <row r="89" spans="1:5" x14ac:dyDescent="0.25">
      <c r="A89" s="1">
        <f t="shared" si="8"/>
        <v>0.37976262674271283</v>
      </c>
      <c r="B89" s="1">
        <f t="shared" si="9"/>
        <v>-0.53</v>
      </c>
    </row>
    <row r="90" spans="1:5" x14ac:dyDescent="0.25">
      <c r="A90" s="1">
        <f t="shared" si="8"/>
        <v>0.36124847908745267</v>
      </c>
      <c r="B90" s="1">
        <f t="shared" si="9"/>
        <v>-0.53</v>
      </c>
    </row>
    <row r="91" spans="1:5" x14ac:dyDescent="0.25">
      <c r="A91" s="1">
        <f t="shared" si="8"/>
        <v>0.34681371989860621</v>
      </c>
      <c r="B91" s="1">
        <f t="shared" si="9"/>
        <v>-0.56999999999999995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workbookViewId="0">
      <selection activeCell="C69" sqref="C69"/>
    </sheetView>
  </sheetViews>
  <sheetFormatPr defaultRowHeight="13.8" x14ac:dyDescent="0.25"/>
  <cols>
    <col min="1" max="1" width="23.77734375" style="1" customWidth="1"/>
    <col min="2" max="2" width="18.5546875" style="1" customWidth="1"/>
    <col min="3" max="3" width="4.88671875" style="1" customWidth="1"/>
    <col min="4" max="4" width="14.88671875" style="1" customWidth="1"/>
    <col min="5" max="5" width="11.33203125" style="1" customWidth="1"/>
    <col min="6" max="6" width="8.88671875" style="1"/>
    <col min="7" max="7" width="12.33203125" style="1" customWidth="1"/>
    <col min="8" max="8" width="8.88671875" style="1"/>
    <col min="9" max="9" width="21.109375" style="1" customWidth="1"/>
    <col min="10" max="10" width="14.109375" style="1" customWidth="1"/>
    <col min="11" max="11" width="13.77734375" style="1" customWidth="1"/>
    <col min="12" max="12" width="8.88671875" style="1"/>
    <col min="13" max="13" width="31.6640625" style="1" customWidth="1"/>
    <col min="14" max="16384" width="8.88671875" style="1"/>
  </cols>
  <sheetData>
    <row r="1" spans="1:22" ht="15.6" x14ac:dyDescent="0.25">
      <c r="A1" s="2" t="s">
        <v>0</v>
      </c>
      <c r="B1" s="1" t="s">
        <v>1</v>
      </c>
      <c r="D1" s="7" t="s">
        <v>71</v>
      </c>
      <c r="E1" s="7" t="s">
        <v>72</v>
      </c>
      <c r="F1" s="4"/>
      <c r="G1" s="4" t="s">
        <v>3</v>
      </c>
      <c r="H1" s="4" t="s">
        <v>73</v>
      </c>
      <c r="I1" s="4" t="s">
        <v>74</v>
      </c>
      <c r="J1" s="4" t="s">
        <v>75</v>
      </c>
      <c r="K1" s="4" t="s">
        <v>76</v>
      </c>
      <c r="M1" s="8" t="s">
        <v>77</v>
      </c>
      <c r="N1" s="8" t="s">
        <v>78</v>
      </c>
      <c r="O1" s="9" t="s">
        <v>79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</row>
    <row r="2" spans="1:22" ht="15.6" x14ac:dyDescent="0.25">
      <c r="A2" s="1">
        <v>4.8084081081080844E-2</v>
      </c>
      <c r="B2" s="1">
        <v>-8.66</v>
      </c>
      <c r="D2" s="1">
        <v>27.888000000000002</v>
      </c>
      <c r="E2" s="1">
        <v>-0.11</v>
      </c>
      <c r="F2" s="4"/>
      <c r="G2" s="4">
        <f>D2</f>
        <v>27.888000000000002</v>
      </c>
      <c r="H2" s="4">
        <v>24.73</v>
      </c>
      <c r="I2" s="4">
        <v>26.943000000000001</v>
      </c>
      <c r="J2" s="4">
        <v>2.9908355529249298E-2</v>
      </c>
      <c r="K2" s="4">
        <v>2.1830916444707515</v>
      </c>
      <c r="M2" s="10" t="s">
        <v>80</v>
      </c>
      <c r="N2" s="10" t="s">
        <v>81</v>
      </c>
      <c r="O2" s="11">
        <v>24.754999999999999</v>
      </c>
      <c r="P2" s="5">
        <v>24.67</v>
      </c>
      <c r="Q2" s="5">
        <v>24.79</v>
      </c>
      <c r="R2" s="5">
        <v>24.692</v>
      </c>
      <c r="S2" s="5">
        <v>24.687999999999999</v>
      </c>
      <c r="T2" s="5">
        <v>24.73</v>
      </c>
      <c r="U2" s="5">
        <v>24.77</v>
      </c>
      <c r="V2" s="5">
        <v>24.783999999999999</v>
      </c>
    </row>
    <row r="3" spans="1:22" ht="15" customHeight="1" x14ac:dyDescent="0.25">
      <c r="A3" s="1">
        <v>4.7846099195710506E-2</v>
      </c>
      <c r="B3" s="1">
        <v>-8.58</v>
      </c>
      <c r="D3" s="1">
        <v>27.849</v>
      </c>
      <c r="E3" s="1">
        <v>-0.19</v>
      </c>
      <c r="M3" s="10" t="s">
        <v>53</v>
      </c>
      <c r="N3" s="10" t="s">
        <v>29</v>
      </c>
      <c r="O3" s="11">
        <v>27.16</v>
      </c>
      <c r="P3" s="5">
        <v>27.654</v>
      </c>
      <c r="Q3" s="5">
        <v>26.852</v>
      </c>
      <c r="R3" s="5">
        <v>26.922999999999998</v>
      </c>
      <c r="S3" s="5">
        <v>27.023</v>
      </c>
      <c r="T3" s="5">
        <v>26.943000000000001</v>
      </c>
      <c r="U3" s="5">
        <v>28.042000000000002</v>
      </c>
      <c r="V3" s="5">
        <v>27.629000000000001</v>
      </c>
    </row>
    <row r="4" spans="1:22" ht="15.6" x14ac:dyDescent="0.25">
      <c r="A4" s="1">
        <v>9.879950775945591E-2</v>
      </c>
      <c r="B4" s="1">
        <v>-1.42</v>
      </c>
      <c r="D4" s="1">
        <v>27.797999999999998</v>
      </c>
      <c r="E4" s="1">
        <v>-0.28999999999999998</v>
      </c>
      <c r="M4" s="8" t="s">
        <v>30</v>
      </c>
      <c r="N4" s="8" t="s">
        <v>31</v>
      </c>
      <c r="O4" s="6">
        <f>(O3-O2)/1.0137</f>
        <v>2.3724967939232524</v>
      </c>
      <c r="P4" s="6">
        <f t="shared" ref="P4:V4" si="0">(P3-P2)/1.0137</f>
        <v>2.9436716977409469</v>
      </c>
      <c r="Q4" s="6">
        <f t="shared" si="0"/>
        <v>2.0341323863075873</v>
      </c>
      <c r="R4" s="6">
        <f t="shared" si="0"/>
        <v>2.2008483772319205</v>
      </c>
      <c r="S4" s="6">
        <f t="shared" si="0"/>
        <v>2.3034428331853611</v>
      </c>
      <c r="T4" s="6">
        <f t="shared" si="0"/>
        <v>2.1830916444707515</v>
      </c>
      <c r="U4" s="6">
        <f t="shared" si="0"/>
        <v>3.2277794219197018</v>
      </c>
      <c r="V4" s="6">
        <f t="shared" si="0"/>
        <v>2.8065502614185678</v>
      </c>
    </row>
    <row r="5" spans="1:22" ht="15.6" x14ac:dyDescent="0.25">
      <c r="A5" s="1">
        <v>0.15405636037651299</v>
      </c>
      <c r="B5" s="1">
        <v>-0.49</v>
      </c>
      <c r="D5" s="1">
        <v>27.751999999999999</v>
      </c>
      <c r="E5" s="1">
        <v>-0.27</v>
      </c>
      <c r="M5" s="8" t="s">
        <v>82</v>
      </c>
      <c r="N5" s="8" t="s">
        <v>33</v>
      </c>
      <c r="O5" s="6">
        <f>O4*0.0137</f>
        <v>3.2503206076748559E-2</v>
      </c>
      <c r="P5" s="6">
        <f t="shared" ref="P5:V5" si="1">P4*0.0137</f>
        <v>4.0328302259050972E-2</v>
      </c>
      <c r="Q5" s="6">
        <f t="shared" si="1"/>
        <v>2.7867613692413949E-2</v>
      </c>
      <c r="R5" s="6">
        <f t="shared" si="1"/>
        <v>3.0151622768077313E-2</v>
      </c>
      <c r="S5" s="6">
        <f t="shared" si="1"/>
        <v>3.1557166814639451E-2</v>
      </c>
      <c r="T5" s="6">
        <f t="shared" si="1"/>
        <v>2.9908355529249298E-2</v>
      </c>
      <c r="U5" s="6">
        <f t="shared" si="1"/>
        <v>4.4220578080299916E-2</v>
      </c>
      <c r="V5" s="6">
        <f t="shared" si="1"/>
        <v>3.8449738581434377E-2</v>
      </c>
    </row>
    <row r="6" spans="1:22" ht="15.6" x14ac:dyDescent="0.25">
      <c r="A6" s="1">
        <v>0.17790855032120029</v>
      </c>
      <c r="B6" s="1">
        <v>-0.31</v>
      </c>
      <c r="D6" s="1">
        <v>27.722999999999999</v>
      </c>
      <c r="E6" s="1">
        <v>-0.42</v>
      </c>
      <c r="M6" s="8" t="s">
        <v>83</v>
      </c>
      <c r="N6" s="8" t="s">
        <v>81</v>
      </c>
      <c r="O6" s="6">
        <v>27.212</v>
      </c>
      <c r="P6" s="5">
        <v>27.718</v>
      </c>
      <c r="Q6" s="5">
        <v>26.972999999999999</v>
      </c>
      <c r="R6" s="5">
        <v>27.143999999999998</v>
      </c>
      <c r="S6" s="5">
        <v>27.295000000000002</v>
      </c>
      <c r="T6" s="5">
        <v>27.321999999999999</v>
      </c>
      <c r="U6" s="5">
        <v>28.47</v>
      </c>
      <c r="V6" s="5">
        <v>28.100999999999999</v>
      </c>
    </row>
    <row r="7" spans="1:22" ht="15.6" x14ac:dyDescent="0.25">
      <c r="A7" s="1">
        <v>0.25286445549028325</v>
      </c>
      <c r="B7" s="1">
        <v>-0.18</v>
      </c>
      <c r="D7" s="1">
        <v>27.692</v>
      </c>
      <c r="E7" s="1">
        <v>-0.46</v>
      </c>
      <c r="M7" s="8" t="s">
        <v>84</v>
      </c>
      <c r="N7" s="8" t="s">
        <v>85</v>
      </c>
      <c r="O7" s="6">
        <f>O6-O3</f>
        <v>5.1999999999999602E-2</v>
      </c>
      <c r="P7" s="6">
        <f t="shared" ref="P7:V7" si="2">P6-P3</f>
        <v>6.4000000000000057E-2</v>
      </c>
      <c r="Q7" s="6">
        <f t="shared" si="2"/>
        <v>0.12099999999999866</v>
      </c>
      <c r="R7" s="6">
        <f t="shared" si="2"/>
        <v>0.22100000000000009</v>
      </c>
      <c r="S7" s="6">
        <f t="shared" si="2"/>
        <v>0.27200000000000202</v>
      </c>
      <c r="T7" s="6">
        <f t="shared" si="2"/>
        <v>0.37899999999999778</v>
      </c>
      <c r="U7" s="6">
        <f t="shared" si="2"/>
        <v>0.42799999999999727</v>
      </c>
      <c r="V7" s="6">
        <f t="shared" si="2"/>
        <v>0.47199999999999775</v>
      </c>
    </row>
    <row r="8" spans="1:22" ht="15.6" x14ac:dyDescent="0.25">
      <c r="A8" s="1">
        <v>0.19750351466992541</v>
      </c>
      <c r="B8" s="1">
        <v>-0.37</v>
      </c>
      <c r="D8" s="1">
        <v>27.658000000000001</v>
      </c>
      <c r="E8" s="1">
        <v>-0.28999999999999998</v>
      </c>
      <c r="M8" s="8" t="s">
        <v>86</v>
      </c>
      <c r="N8" s="8" t="s">
        <v>87</v>
      </c>
      <c r="O8" s="6">
        <f>(O5+O7)*1.35/O4</f>
        <v>4.8084081081080844E-2</v>
      </c>
      <c r="P8" s="6">
        <f t="shared" ref="P8:V8" si="3">(P5+P7)*1.35/P4</f>
        <v>4.7846099195710506E-2</v>
      </c>
      <c r="Q8" s="6">
        <f t="shared" si="3"/>
        <v>9.879950775945591E-2</v>
      </c>
      <c r="R8" s="6">
        <f t="shared" si="3"/>
        <v>0.15405636037651299</v>
      </c>
      <c r="S8" s="6">
        <f t="shared" si="3"/>
        <v>0.17790855032120029</v>
      </c>
      <c r="T8" s="6">
        <f t="shared" si="3"/>
        <v>0.25286445549028325</v>
      </c>
      <c r="U8" s="6">
        <f t="shared" si="3"/>
        <v>0.19750351466992541</v>
      </c>
      <c r="V8" s="6">
        <f t="shared" si="3"/>
        <v>0.24553529525483184</v>
      </c>
    </row>
    <row r="9" spans="1:22" ht="15.6" x14ac:dyDescent="0.25">
      <c r="A9" s="1">
        <v>0.24553529525483184</v>
      </c>
      <c r="B9" s="1">
        <v>-0.24</v>
      </c>
      <c r="D9" s="1">
        <v>27.625</v>
      </c>
      <c r="E9" s="1">
        <v>-0.3</v>
      </c>
      <c r="M9" s="8" t="s">
        <v>88</v>
      </c>
      <c r="N9" s="8" t="s">
        <v>89</v>
      </c>
      <c r="O9" s="6">
        <v>-8.66</v>
      </c>
      <c r="P9" s="6">
        <v>-8.58</v>
      </c>
      <c r="Q9" s="6">
        <v>-1.42</v>
      </c>
      <c r="R9" s="6">
        <v>-0.49</v>
      </c>
      <c r="S9" s="6">
        <v>-0.31</v>
      </c>
      <c r="T9" s="6">
        <v>-0.18</v>
      </c>
      <c r="U9" s="6">
        <v>-0.37</v>
      </c>
      <c r="V9" s="6">
        <v>-0.24</v>
      </c>
    </row>
    <row r="10" spans="1:22" x14ac:dyDescent="0.25">
      <c r="A10" s="1">
        <f>(D2-$I$2+$J$2)/$K$2*1.35</f>
        <v>0.60287266606416623</v>
      </c>
      <c r="B10" s="1">
        <f>E2</f>
        <v>-0.11</v>
      </c>
      <c r="D10" s="1">
        <v>27.574999999999999</v>
      </c>
      <c r="E10" s="1">
        <v>-0.33</v>
      </c>
    </row>
    <row r="11" spans="1:22" x14ac:dyDescent="0.25">
      <c r="A11" s="1">
        <f t="shared" ref="A11:A28" si="4">(D3-$I$2+$J$2)/$K$2*1.35</f>
        <v>0.57875549254405689</v>
      </c>
      <c r="B11" s="1">
        <f t="shared" ref="B11:B28" si="5">E3</f>
        <v>-0.19</v>
      </c>
      <c r="D11" s="1">
        <v>27.536999999999999</v>
      </c>
      <c r="E11" s="1">
        <v>-0.34</v>
      </c>
    </row>
    <row r="12" spans="1:22" x14ac:dyDescent="0.25">
      <c r="A12" s="1">
        <f t="shared" si="4"/>
        <v>0.54721765024852931</v>
      </c>
      <c r="B12" s="1">
        <f t="shared" si="5"/>
        <v>-0.28999999999999998</v>
      </c>
      <c r="D12" s="1">
        <v>27.495999999999999</v>
      </c>
      <c r="E12" s="1">
        <v>-0.36</v>
      </c>
    </row>
    <row r="13" spans="1:22" x14ac:dyDescent="0.25">
      <c r="A13" s="1">
        <f t="shared" si="4"/>
        <v>0.51877175327609415</v>
      </c>
      <c r="B13" s="1">
        <f t="shared" si="5"/>
        <v>-0.27</v>
      </c>
      <c r="D13" s="1">
        <v>27.457999999999998</v>
      </c>
      <c r="E13" s="1">
        <v>-0.33</v>
      </c>
    </row>
    <row r="14" spans="1:22" x14ac:dyDescent="0.25">
      <c r="A14" s="1">
        <f t="shared" si="4"/>
        <v>0.50083847040216745</v>
      </c>
      <c r="B14" s="1">
        <f t="shared" si="5"/>
        <v>-0.42</v>
      </c>
      <c r="D14" s="1">
        <v>27.411999999999999</v>
      </c>
      <c r="E14" s="1">
        <v>-0.33</v>
      </c>
    </row>
    <row r="15" spans="1:22" x14ac:dyDescent="0.25">
      <c r="A15" s="1">
        <f t="shared" si="4"/>
        <v>0.48166840939900496</v>
      </c>
      <c r="B15" s="1">
        <f t="shared" si="5"/>
        <v>-0.46</v>
      </c>
      <c r="D15" s="1">
        <v>27.364000000000001</v>
      </c>
      <c r="E15" s="1">
        <v>-0.42</v>
      </c>
    </row>
    <row r="16" spans="1:22" x14ac:dyDescent="0.25">
      <c r="A16" s="1">
        <f t="shared" si="4"/>
        <v>0.46064318120198805</v>
      </c>
      <c r="B16" s="1">
        <f t="shared" si="5"/>
        <v>-0.28999999999999998</v>
      </c>
      <c r="D16" s="1">
        <v>27.321000000000002</v>
      </c>
      <c r="E16" s="1">
        <v>-0.46</v>
      </c>
    </row>
    <row r="17" spans="1:22" x14ac:dyDescent="0.25">
      <c r="A17" s="1">
        <f t="shared" si="4"/>
        <v>0.44023634206958784</v>
      </c>
      <c r="B17" s="1">
        <f t="shared" si="5"/>
        <v>-0.3</v>
      </c>
      <c r="D17" s="1">
        <v>27.256</v>
      </c>
      <c r="E17" s="1">
        <v>-0.44</v>
      </c>
    </row>
    <row r="18" spans="1:22" x14ac:dyDescent="0.25">
      <c r="A18" s="1">
        <f t="shared" si="4"/>
        <v>0.40931688883867912</v>
      </c>
      <c r="B18" s="1">
        <f t="shared" si="5"/>
        <v>-0.33</v>
      </c>
      <c r="D18" s="1">
        <v>27.216000000000001</v>
      </c>
      <c r="E18" s="1">
        <v>-0.48</v>
      </c>
    </row>
    <row r="19" spans="1:22" x14ac:dyDescent="0.25">
      <c r="A19" s="1">
        <f t="shared" si="4"/>
        <v>0.38581810438318864</v>
      </c>
      <c r="B19" s="1">
        <f t="shared" si="5"/>
        <v>-0.34</v>
      </c>
      <c r="D19" s="1">
        <v>27.178000000000001</v>
      </c>
      <c r="E19" s="1">
        <v>-0.56000000000000005</v>
      </c>
    </row>
    <row r="20" spans="1:22" x14ac:dyDescent="0.25">
      <c r="A20" s="1">
        <f t="shared" si="4"/>
        <v>0.36046415273384369</v>
      </c>
      <c r="B20" s="1">
        <f t="shared" si="5"/>
        <v>-0.36</v>
      </c>
      <c r="D20" s="1">
        <v>27.117999999999999</v>
      </c>
      <c r="E20" s="1">
        <v>-0.89</v>
      </c>
    </row>
    <row r="21" spans="1:22" x14ac:dyDescent="0.25">
      <c r="A21" s="1">
        <f t="shared" si="4"/>
        <v>0.33696536827835322</v>
      </c>
      <c r="B21" s="1">
        <f t="shared" si="5"/>
        <v>-0.33</v>
      </c>
      <c r="D21" s="1">
        <v>27.08</v>
      </c>
      <c r="E21" s="1">
        <v>-1.72</v>
      </c>
    </row>
    <row r="22" spans="1:22" x14ac:dyDescent="0.25">
      <c r="A22" s="1">
        <f t="shared" si="4"/>
        <v>0.308519471305918</v>
      </c>
      <c r="B22" s="1">
        <f t="shared" si="5"/>
        <v>-0.33</v>
      </c>
      <c r="D22" s="1">
        <v>27.045999999999999</v>
      </c>
      <c r="E22" s="1">
        <v>-3.28</v>
      </c>
    </row>
    <row r="23" spans="1:22" x14ac:dyDescent="0.25">
      <c r="A23" s="1">
        <f t="shared" si="4"/>
        <v>0.27883679620424717</v>
      </c>
      <c r="B23" s="1">
        <f t="shared" si="5"/>
        <v>-0.42</v>
      </c>
    </row>
    <row r="24" spans="1:22" x14ac:dyDescent="0.25">
      <c r="A24" s="1">
        <f t="shared" si="4"/>
        <v>0.25224606642566655</v>
      </c>
      <c r="B24" s="1">
        <f t="shared" si="5"/>
        <v>-0.46</v>
      </c>
    </row>
    <row r="25" spans="1:22" x14ac:dyDescent="0.25">
      <c r="A25" s="1">
        <f t="shared" si="4"/>
        <v>0.21205077722548499</v>
      </c>
      <c r="B25" s="1">
        <f t="shared" si="5"/>
        <v>-0.44</v>
      </c>
    </row>
    <row r="26" spans="1:22" x14ac:dyDescent="0.25">
      <c r="A26" s="1">
        <f t="shared" si="4"/>
        <v>0.18731521464075893</v>
      </c>
      <c r="B26" s="1">
        <f t="shared" si="5"/>
        <v>-0.48</v>
      </c>
    </row>
    <row r="27" spans="1:22" x14ac:dyDescent="0.25">
      <c r="A27" s="1">
        <f t="shared" si="4"/>
        <v>0.16381643018526848</v>
      </c>
      <c r="B27" s="1">
        <f t="shared" si="5"/>
        <v>-0.56000000000000005</v>
      </c>
    </row>
    <row r="28" spans="1:22" x14ac:dyDescent="0.25">
      <c r="A28" s="1">
        <f t="shared" si="4"/>
        <v>0.12671308630817715</v>
      </c>
      <c r="B28" s="1">
        <f t="shared" si="5"/>
        <v>-0.89</v>
      </c>
    </row>
    <row r="29" spans="1:22" x14ac:dyDescent="0.25">
      <c r="A29" s="1">
        <f t="shared" ref="A29:A30" si="6">(D21-$I$2+$J$2)/$K$2*1.35</f>
        <v>0.10321430185268674</v>
      </c>
      <c r="B29" s="1">
        <f t="shared" ref="B29:B30" si="7">E21</f>
        <v>-1.72</v>
      </c>
      <c r="D29" s="7"/>
      <c r="E29" s="7"/>
      <c r="F29" s="4"/>
      <c r="G29" s="4"/>
      <c r="H29" s="4"/>
      <c r="I29" s="4"/>
      <c r="J29" s="4"/>
      <c r="K29" s="4"/>
    </row>
    <row r="30" spans="1:22" x14ac:dyDescent="0.25">
      <c r="A30" s="1">
        <f t="shared" si="6"/>
        <v>8.2189073655669784E-2</v>
      </c>
      <c r="B30" s="1">
        <f t="shared" si="7"/>
        <v>-3.28</v>
      </c>
      <c r="F30" s="4"/>
      <c r="G30" s="4"/>
      <c r="H30" s="4"/>
      <c r="I30" s="4"/>
      <c r="J30" s="4"/>
      <c r="K30" s="4"/>
    </row>
    <row r="32" spans="1:22" ht="15.6" x14ac:dyDescent="0.25">
      <c r="A32" s="2" t="s">
        <v>0</v>
      </c>
      <c r="B32" s="1" t="s">
        <v>1</v>
      </c>
      <c r="D32" s="7" t="s">
        <v>90</v>
      </c>
      <c r="E32" s="7" t="s">
        <v>91</v>
      </c>
      <c r="F32" s="4"/>
      <c r="G32" s="4" t="s">
        <v>3</v>
      </c>
      <c r="H32" s="4" t="s">
        <v>92</v>
      </c>
      <c r="I32" s="4" t="s">
        <v>93</v>
      </c>
      <c r="J32" s="4" t="s">
        <v>94</v>
      </c>
      <c r="K32" s="4" t="s">
        <v>95</v>
      </c>
      <c r="M32" s="8" t="s">
        <v>77</v>
      </c>
      <c r="N32" s="8" t="s">
        <v>78</v>
      </c>
      <c r="O32" s="9" t="s">
        <v>79</v>
      </c>
      <c r="P32" s="9" t="s">
        <v>19</v>
      </c>
      <c r="Q32" s="9" t="s">
        <v>20</v>
      </c>
      <c r="R32" s="9" t="s">
        <v>21</v>
      </c>
      <c r="S32" s="9" t="s">
        <v>22</v>
      </c>
      <c r="T32" s="9" t="s">
        <v>23</v>
      </c>
      <c r="U32" s="9" t="s">
        <v>24</v>
      </c>
      <c r="V32" s="9" t="s">
        <v>25</v>
      </c>
    </row>
    <row r="33" spans="1:22" ht="15.6" x14ac:dyDescent="0.25">
      <c r="A33" s="1">
        <v>4.8084081081080844E-2</v>
      </c>
      <c r="B33" s="1">
        <v>-8.66</v>
      </c>
      <c r="D33" s="1">
        <v>29.192</v>
      </c>
      <c r="E33" s="1">
        <v>-0.13</v>
      </c>
      <c r="F33" s="4"/>
      <c r="G33" s="4">
        <f>D33</f>
        <v>29.192</v>
      </c>
      <c r="H33" s="4">
        <v>24.77</v>
      </c>
      <c r="I33" s="4">
        <v>28.042000000000002</v>
      </c>
      <c r="J33" s="4">
        <v>4.4220578080299916E-2</v>
      </c>
      <c r="K33" s="4">
        <v>3.2277794219197018</v>
      </c>
      <c r="M33" s="10" t="s">
        <v>80</v>
      </c>
      <c r="N33" s="10" t="s">
        <v>81</v>
      </c>
      <c r="O33" s="11">
        <v>24.754999999999999</v>
      </c>
      <c r="P33" s="5">
        <v>24.67</v>
      </c>
      <c r="Q33" s="5">
        <v>24.79</v>
      </c>
      <c r="R33" s="5">
        <v>24.692</v>
      </c>
      <c r="S33" s="5">
        <v>24.687999999999999</v>
      </c>
      <c r="T33" s="5">
        <v>24.73</v>
      </c>
      <c r="U33" s="5">
        <v>24.77</v>
      </c>
      <c r="V33" s="5">
        <v>24.783999999999999</v>
      </c>
    </row>
    <row r="34" spans="1:22" ht="15.6" x14ac:dyDescent="0.25">
      <c r="A34" s="1">
        <v>4.7846099195710506E-2</v>
      </c>
      <c r="B34" s="1">
        <v>-8.58</v>
      </c>
      <c r="D34" s="1">
        <v>29.152999999999999</v>
      </c>
      <c r="E34" s="1">
        <v>-0.26</v>
      </c>
      <c r="M34" s="10" t="s">
        <v>53</v>
      </c>
      <c r="N34" s="10" t="s">
        <v>29</v>
      </c>
      <c r="O34" s="11">
        <v>27.16</v>
      </c>
      <c r="P34" s="5">
        <v>27.654</v>
      </c>
      <c r="Q34" s="5">
        <v>26.852</v>
      </c>
      <c r="R34" s="5">
        <v>26.922999999999998</v>
      </c>
      <c r="S34" s="5">
        <v>27.023</v>
      </c>
      <c r="T34" s="5">
        <v>26.943000000000001</v>
      </c>
      <c r="U34" s="5">
        <v>28.042000000000002</v>
      </c>
      <c r="V34" s="5">
        <v>27.629000000000001</v>
      </c>
    </row>
    <row r="35" spans="1:22" ht="15.6" x14ac:dyDescent="0.25">
      <c r="A35" s="1">
        <v>9.879950775945591E-2</v>
      </c>
      <c r="B35" s="1">
        <v>-1.42</v>
      </c>
      <c r="D35" s="1">
        <v>29.117999999999999</v>
      </c>
      <c r="E35" s="1">
        <v>-0.26</v>
      </c>
      <c r="M35" s="8" t="s">
        <v>30</v>
      </c>
      <c r="N35" s="8" t="s">
        <v>31</v>
      </c>
      <c r="O35" s="6">
        <f>(O34-O33)/1.0137</f>
        <v>2.3724967939232524</v>
      </c>
      <c r="P35" s="6">
        <f t="shared" ref="P35:V35" si="8">(P34-P33)/1.0137</f>
        <v>2.9436716977409469</v>
      </c>
      <c r="Q35" s="6">
        <f t="shared" si="8"/>
        <v>2.0341323863075873</v>
      </c>
      <c r="R35" s="6">
        <f t="shared" si="8"/>
        <v>2.2008483772319205</v>
      </c>
      <c r="S35" s="6">
        <f t="shared" si="8"/>
        <v>2.3034428331853611</v>
      </c>
      <c r="T35" s="6">
        <f t="shared" si="8"/>
        <v>2.1830916444707515</v>
      </c>
      <c r="U35" s="6">
        <f t="shared" si="8"/>
        <v>3.2277794219197018</v>
      </c>
      <c r="V35" s="6">
        <f t="shared" si="8"/>
        <v>2.8065502614185678</v>
      </c>
    </row>
    <row r="36" spans="1:22" ht="15.6" x14ac:dyDescent="0.25">
      <c r="A36" s="1">
        <v>0.15405636037651299</v>
      </c>
      <c r="B36" s="1">
        <v>-0.49</v>
      </c>
      <c r="D36" s="1">
        <v>29.068999999999999</v>
      </c>
      <c r="E36" s="1">
        <v>-0.26</v>
      </c>
      <c r="M36" s="8" t="s">
        <v>82</v>
      </c>
      <c r="N36" s="8" t="s">
        <v>33</v>
      </c>
      <c r="O36" s="6">
        <f>O35*0.0137</f>
        <v>3.2503206076748559E-2</v>
      </c>
      <c r="P36" s="6">
        <f t="shared" ref="P36:V36" si="9">P35*0.0137</f>
        <v>4.0328302259050972E-2</v>
      </c>
      <c r="Q36" s="6">
        <f t="shared" si="9"/>
        <v>2.7867613692413949E-2</v>
      </c>
      <c r="R36" s="6">
        <f t="shared" si="9"/>
        <v>3.0151622768077313E-2</v>
      </c>
      <c r="S36" s="6">
        <f t="shared" si="9"/>
        <v>3.1557166814639451E-2</v>
      </c>
      <c r="T36" s="6">
        <f t="shared" si="9"/>
        <v>2.9908355529249298E-2</v>
      </c>
      <c r="U36" s="6">
        <f t="shared" si="9"/>
        <v>4.4220578080299916E-2</v>
      </c>
      <c r="V36" s="6">
        <f t="shared" si="9"/>
        <v>3.8449738581434377E-2</v>
      </c>
    </row>
    <row r="37" spans="1:22" ht="15.6" x14ac:dyDescent="0.25">
      <c r="A37" s="1">
        <v>0.17790855032120029</v>
      </c>
      <c r="B37" s="1">
        <v>-0.31</v>
      </c>
      <c r="D37" s="1">
        <v>29.036999999999999</v>
      </c>
      <c r="E37" s="1">
        <v>-0.28000000000000003</v>
      </c>
      <c r="M37" s="8" t="s">
        <v>83</v>
      </c>
      <c r="N37" s="8" t="s">
        <v>81</v>
      </c>
      <c r="O37" s="6">
        <v>27.212</v>
      </c>
      <c r="P37" s="5">
        <v>27.718</v>
      </c>
      <c r="Q37" s="5">
        <v>26.972999999999999</v>
      </c>
      <c r="R37" s="5">
        <v>27.143999999999998</v>
      </c>
      <c r="S37" s="5">
        <v>27.295000000000002</v>
      </c>
      <c r="T37" s="5">
        <v>27.321999999999999</v>
      </c>
      <c r="U37" s="5">
        <v>28.47</v>
      </c>
      <c r="V37" s="5">
        <v>28.100999999999999</v>
      </c>
    </row>
    <row r="38" spans="1:22" ht="15.6" x14ac:dyDescent="0.25">
      <c r="A38" s="1">
        <v>0.25286445549028325</v>
      </c>
      <c r="B38" s="1">
        <v>-0.18</v>
      </c>
      <c r="D38" s="1">
        <v>29.007999999999999</v>
      </c>
      <c r="E38" s="1">
        <v>-0.27</v>
      </c>
      <c r="M38" s="8" t="s">
        <v>84</v>
      </c>
      <c r="N38" s="8" t="s">
        <v>85</v>
      </c>
      <c r="O38" s="6">
        <f>O37-O34</f>
        <v>5.1999999999999602E-2</v>
      </c>
      <c r="P38" s="6">
        <f t="shared" ref="P38:V38" si="10">P37-P34</f>
        <v>6.4000000000000057E-2</v>
      </c>
      <c r="Q38" s="6">
        <f t="shared" si="10"/>
        <v>0.12099999999999866</v>
      </c>
      <c r="R38" s="6">
        <f t="shared" si="10"/>
        <v>0.22100000000000009</v>
      </c>
      <c r="S38" s="6">
        <f t="shared" si="10"/>
        <v>0.27200000000000202</v>
      </c>
      <c r="T38" s="6">
        <f t="shared" si="10"/>
        <v>0.37899999999999778</v>
      </c>
      <c r="U38" s="6">
        <f t="shared" si="10"/>
        <v>0.42799999999999727</v>
      </c>
      <c r="V38" s="6">
        <f t="shared" si="10"/>
        <v>0.47199999999999775</v>
      </c>
    </row>
    <row r="39" spans="1:22" ht="15.6" x14ac:dyDescent="0.25">
      <c r="A39" s="1">
        <v>0.19750351466992541</v>
      </c>
      <c r="B39" s="1">
        <v>-0.37</v>
      </c>
      <c r="D39" s="1">
        <v>28.937000000000001</v>
      </c>
      <c r="E39" s="1">
        <v>-0.24</v>
      </c>
      <c r="M39" s="8" t="s">
        <v>86</v>
      </c>
      <c r="N39" s="8" t="s">
        <v>87</v>
      </c>
      <c r="O39" s="6">
        <f>(O36+O38)*1.35/O35</f>
        <v>4.8084081081080844E-2</v>
      </c>
      <c r="P39" s="6">
        <f t="shared" ref="P39:V39" si="11">(P36+P38)*1.35/P35</f>
        <v>4.7846099195710506E-2</v>
      </c>
      <c r="Q39" s="6">
        <f t="shared" si="11"/>
        <v>9.879950775945591E-2</v>
      </c>
      <c r="R39" s="6">
        <f t="shared" si="11"/>
        <v>0.15405636037651299</v>
      </c>
      <c r="S39" s="6">
        <f t="shared" si="11"/>
        <v>0.17790855032120029</v>
      </c>
      <c r="T39" s="6">
        <f t="shared" si="11"/>
        <v>0.25286445549028325</v>
      </c>
      <c r="U39" s="6">
        <f t="shared" si="11"/>
        <v>0.19750351466992541</v>
      </c>
      <c r="V39" s="6">
        <f t="shared" si="11"/>
        <v>0.24553529525483184</v>
      </c>
    </row>
    <row r="40" spans="1:22" ht="15.6" x14ac:dyDescent="0.25">
      <c r="A40" s="1">
        <v>0.24553529525483184</v>
      </c>
      <c r="B40" s="1">
        <v>-0.24</v>
      </c>
      <c r="D40" s="1">
        <v>28.925999999999998</v>
      </c>
      <c r="E40" s="1">
        <v>-0.22</v>
      </c>
      <c r="M40" s="8" t="s">
        <v>88</v>
      </c>
      <c r="N40" s="8" t="s">
        <v>89</v>
      </c>
      <c r="O40" s="6">
        <v>-8.66</v>
      </c>
      <c r="P40" s="6">
        <v>-8.58</v>
      </c>
      <c r="Q40" s="6">
        <v>-1.42</v>
      </c>
      <c r="R40" s="6">
        <v>-0.49</v>
      </c>
      <c r="S40" s="6">
        <v>-0.31</v>
      </c>
      <c r="T40" s="6">
        <v>-0.18</v>
      </c>
      <c r="U40" s="6">
        <v>-0.37</v>
      </c>
      <c r="V40" s="6">
        <v>-0.24</v>
      </c>
    </row>
    <row r="41" spans="1:22" x14ac:dyDescent="0.25">
      <c r="A41" s="1">
        <f>(D33-$I$33+$J$33)/$K$33*1.35</f>
        <v>0.49947582212713854</v>
      </c>
      <c r="B41" s="1">
        <f>E33</f>
        <v>-0.13</v>
      </c>
      <c r="D41" s="1">
        <v>28.879000000000001</v>
      </c>
      <c r="E41" s="1">
        <v>-0.28000000000000003</v>
      </c>
    </row>
    <row r="42" spans="1:22" x14ac:dyDescent="0.25">
      <c r="A42" s="1">
        <f t="shared" ref="A42:A61" si="12">(D34-$I$33+$J$33)/$K$33*1.35</f>
        <v>0.48316429859413063</v>
      </c>
      <c r="B42" s="1">
        <f t="shared" ref="B42:B61" si="13">E34</f>
        <v>-0.26</v>
      </c>
      <c r="D42" s="1">
        <v>28.843</v>
      </c>
      <c r="E42" s="1">
        <v>-0.27</v>
      </c>
    </row>
    <row r="43" spans="1:22" x14ac:dyDescent="0.25">
      <c r="A43" s="1">
        <f t="shared" si="12"/>
        <v>0.4685257518337394</v>
      </c>
      <c r="B43" s="1">
        <f t="shared" si="13"/>
        <v>-0.26</v>
      </c>
      <c r="D43" s="1">
        <v>28.806000000000001</v>
      </c>
      <c r="E43" s="1">
        <v>-0.31</v>
      </c>
    </row>
    <row r="44" spans="1:22" x14ac:dyDescent="0.25">
      <c r="A44" s="1">
        <f t="shared" si="12"/>
        <v>0.44803178636919194</v>
      </c>
      <c r="B44" s="1">
        <f t="shared" si="13"/>
        <v>-0.26</v>
      </c>
      <c r="D44" s="1">
        <v>28.763999999999999</v>
      </c>
      <c r="E44" s="1">
        <v>-0.26</v>
      </c>
    </row>
    <row r="45" spans="1:22" x14ac:dyDescent="0.25">
      <c r="A45" s="1">
        <f t="shared" si="12"/>
        <v>0.43464797218826284</v>
      </c>
      <c r="B45" s="1">
        <f t="shared" si="13"/>
        <v>-0.28000000000000003</v>
      </c>
      <c r="D45" s="1">
        <v>28.713999999999999</v>
      </c>
      <c r="E45" s="1">
        <v>-0.3</v>
      </c>
    </row>
    <row r="46" spans="1:22" x14ac:dyDescent="0.25">
      <c r="A46" s="1">
        <f t="shared" si="12"/>
        <v>0.42251889058679587</v>
      </c>
      <c r="B46" s="1">
        <f t="shared" si="13"/>
        <v>-0.27</v>
      </c>
      <c r="D46" s="1">
        <v>28.664999999999999</v>
      </c>
      <c r="E46" s="1">
        <v>-0.3</v>
      </c>
    </row>
    <row r="47" spans="1:22" x14ac:dyDescent="0.25">
      <c r="A47" s="1">
        <f t="shared" si="12"/>
        <v>0.39282355287286025</v>
      </c>
      <c r="B47" s="1">
        <f t="shared" si="13"/>
        <v>-0.24</v>
      </c>
      <c r="D47" s="1">
        <v>28.631</v>
      </c>
      <c r="E47" s="1">
        <v>-0.37</v>
      </c>
    </row>
    <row r="48" spans="1:22" x14ac:dyDescent="0.25">
      <c r="A48" s="1">
        <f t="shared" si="12"/>
        <v>0.38822286674816475</v>
      </c>
      <c r="B48" s="1">
        <f t="shared" si="13"/>
        <v>-0.22</v>
      </c>
      <c r="D48" s="1">
        <v>28.556000000000001</v>
      </c>
      <c r="E48" s="1">
        <v>-0.38</v>
      </c>
    </row>
    <row r="49" spans="1:22" x14ac:dyDescent="0.25">
      <c r="A49" s="1">
        <f t="shared" si="12"/>
        <v>0.36856538966992636</v>
      </c>
      <c r="B49" s="1">
        <f t="shared" si="13"/>
        <v>-0.28000000000000003</v>
      </c>
      <c r="D49" s="1">
        <v>28.516999999999999</v>
      </c>
      <c r="E49" s="1">
        <v>-0.4</v>
      </c>
    </row>
    <row r="50" spans="1:22" x14ac:dyDescent="0.25">
      <c r="A50" s="1">
        <f t="shared" si="12"/>
        <v>0.35350859871638063</v>
      </c>
      <c r="B50" s="1">
        <f t="shared" si="13"/>
        <v>-0.27</v>
      </c>
      <c r="D50" s="1">
        <v>28.477</v>
      </c>
      <c r="E50" s="1">
        <v>-0.42</v>
      </c>
    </row>
    <row r="51" spans="1:22" x14ac:dyDescent="0.25">
      <c r="A51" s="1">
        <f t="shared" si="12"/>
        <v>0.33803356356968173</v>
      </c>
      <c r="B51" s="1">
        <f t="shared" si="13"/>
        <v>-0.31</v>
      </c>
      <c r="D51" s="1">
        <v>28.411000000000001</v>
      </c>
      <c r="E51" s="1">
        <v>-0.48</v>
      </c>
    </row>
    <row r="52" spans="1:22" x14ac:dyDescent="0.25">
      <c r="A52" s="1">
        <f t="shared" si="12"/>
        <v>0.32046730745721164</v>
      </c>
      <c r="B52" s="1">
        <f t="shared" si="13"/>
        <v>-0.26</v>
      </c>
      <c r="D52" s="1">
        <v>28.370999999999999</v>
      </c>
      <c r="E52" s="1">
        <v>-0.59</v>
      </c>
    </row>
    <row r="53" spans="1:22" x14ac:dyDescent="0.25">
      <c r="A53" s="1">
        <f t="shared" si="12"/>
        <v>0.29955509779950962</v>
      </c>
      <c r="B53" s="1">
        <f t="shared" si="13"/>
        <v>-0.3</v>
      </c>
      <c r="D53" s="1">
        <v>28.32</v>
      </c>
      <c r="E53" s="1">
        <v>-0.92</v>
      </c>
    </row>
    <row r="54" spans="1:22" x14ac:dyDescent="0.25">
      <c r="A54" s="1">
        <f t="shared" si="12"/>
        <v>0.27906113233496216</v>
      </c>
      <c r="B54" s="1">
        <f t="shared" si="13"/>
        <v>-0.3</v>
      </c>
    </row>
    <row r="55" spans="1:22" x14ac:dyDescent="0.25">
      <c r="A55" s="1">
        <f t="shared" si="12"/>
        <v>0.26484082976772544</v>
      </c>
      <c r="B55" s="1">
        <f t="shared" si="13"/>
        <v>-0.37</v>
      </c>
    </row>
    <row r="56" spans="1:22" x14ac:dyDescent="0.25">
      <c r="A56" s="1">
        <f t="shared" si="12"/>
        <v>0.23347251528117324</v>
      </c>
      <c r="B56" s="1">
        <f t="shared" si="13"/>
        <v>-0.38</v>
      </c>
    </row>
    <row r="57" spans="1:22" x14ac:dyDescent="0.25">
      <c r="A57" s="1">
        <f t="shared" si="12"/>
        <v>0.21716099174816525</v>
      </c>
      <c r="B57" s="1">
        <f t="shared" si="13"/>
        <v>-0.4</v>
      </c>
    </row>
    <row r="58" spans="1:22" x14ac:dyDescent="0.25">
      <c r="A58" s="1">
        <f t="shared" si="12"/>
        <v>0.20043122402200428</v>
      </c>
      <c r="B58" s="1">
        <f t="shared" si="13"/>
        <v>-0.42</v>
      </c>
    </row>
    <row r="59" spans="1:22" x14ac:dyDescent="0.25">
      <c r="A59" s="1">
        <f t="shared" si="12"/>
        <v>0.17282710727383846</v>
      </c>
      <c r="B59" s="1">
        <f t="shared" si="13"/>
        <v>-0.48</v>
      </c>
    </row>
    <row r="60" spans="1:22" x14ac:dyDescent="0.25">
      <c r="A60" s="1">
        <f t="shared" si="12"/>
        <v>0.15609733954767596</v>
      </c>
      <c r="B60" s="1">
        <f t="shared" si="13"/>
        <v>-0.59</v>
      </c>
      <c r="D60" s="7"/>
      <c r="E60" s="7"/>
      <c r="F60" s="4"/>
      <c r="G60" s="4"/>
      <c r="H60" s="4"/>
      <c r="I60" s="4"/>
      <c r="J60" s="4"/>
      <c r="K60" s="4"/>
    </row>
    <row r="61" spans="1:22" x14ac:dyDescent="0.25">
      <c r="A61" s="1">
        <f t="shared" si="12"/>
        <v>0.13476688569682091</v>
      </c>
      <c r="B61" s="1">
        <f t="shared" si="13"/>
        <v>-0.92</v>
      </c>
      <c r="F61" s="4"/>
      <c r="G61" s="4"/>
      <c r="H61" s="4"/>
      <c r="I61" s="4"/>
      <c r="J61" s="4"/>
      <c r="K61" s="4"/>
    </row>
    <row r="64" spans="1:22" ht="15.6" x14ac:dyDescent="0.25">
      <c r="A64" s="2" t="s">
        <v>0</v>
      </c>
      <c r="B64" s="1" t="s">
        <v>1</v>
      </c>
      <c r="D64" s="7" t="s">
        <v>96</v>
      </c>
      <c r="E64" s="7" t="s">
        <v>97</v>
      </c>
      <c r="F64" s="4"/>
      <c r="G64" s="4" t="s">
        <v>3</v>
      </c>
      <c r="H64" s="4" t="s">
        <v>98</v>
      </c>
      <c r="I64" s="4" t="s">
        <v>99</v>
      </c>
      <c r="J64" s="4" t="s">
        <v>100</v>
      </c>
      <c r="K64" s="4" t="s">
        <v>101</v>
      </c>
      <c r="M64" s="8" t="s">
        <v>77</v>
      </c>
      <c r="N64" s="8" t="s">
        <v>78</v>
      </c>
      <c r="O64" s="9" t="s">
        <v>79</v>
      </c>
      <c r="P64" s="9" t="s">
        <v>19</v>
      </c>
      <c r="Q64" s="9" t="s">
        <v>20</v>
      </c>
      <c r="R64" s="9" t="s">
        <v>21</v>
      </c>
      <c r="S64" s="9" t="s">
        <v>22</v>
      </c>
      <c r="T64" s="9" t="s">
        <v>23</v>
      </c>
      <c r="U64" s="9" t="s">
        <v>24</v>
      </c>
      <c r="V64" s="9" t="s">
        <v>25</v>
      </c>
    </row>
    <row r="65" spans="1:22" ht="15.6" x14ac:dyDescent="0.25">
      <c r="A65" s="1">
        <v>4.8084081081080844E-2</v>
      </c>
      <c r="B65" s="1">
        <v>-8.66</v>
      </c>
      <c r="D65" s="1">
        <v>28.652000000000001</v>
      </c>
      <c r="E65" s="1">
        <v>-0.16</v>
      </c>
      <c r="F65" s="4"/>
      <c r="G65" s="4">
        <f>D65</f>
        <v>28.652000000000001</v>
      </c>
      <c r="H65" s="4">
        <v>24.783999999999999</v>
      </c>
      <c r="I65" s="4">
        <v>27.629000000000001</v>
      </c>
      <c r="J65" s="4">
        <v>3.8449738581434377E-2</v>
      </c>
      <c r="K65" s="4">
        <v>2.8065502614185678</v>
      </c>
      <c r="M65" s="10" t="s">
        <v>80</v>
      </c>
      <c r="N65" s="10" t="s">
        <v>81</v>
      </c>
      <c r="O65" s="11">
        <v>24.754999999999999</v>
      </c>
      <c r="P65" s="5">
        <v>24.67</v>
      </c>
      <c r="Q65" s="5">
        <v>24.79</v>
      </c>
      <c r="R65" s="5">
        <v>24.692</v>
      </c>
      <c r="S65" s="5">
        <v>24.687999999999999</v>
      </c>
      <c r="T65" s="5">
        <v>24.73</v>
      </c>
      <c r="U65" s="5">
        <v>24.77</v>
      </c>
      <c r="V65" s="5">
        <v>24.783999999999999</v>
      </c>
    </row>
    <row r="66" spans="1:22" ht="15.6" x14ac:dyDescent="0.25">
      <c r="A66" s="1">
        <v>4.7846099195710506E-2</v>
      </c>
      <c r="B66" s="1">
        <v>-8.58</v>
      </c>
      <c r="D66" s="1">
        <v>28.616</v>
      </c>
      <c r="E66" s="1">
        <v>-0.19</v>
      </c>
      <c r="M66" s="10" t="s">
        <v>53</v>
      </c>
      <c r="N66" s="10" t="s">
        <v>29</v>
      </c>
      <c r="O66" s="11">
        <v>27.16</v>
      </c>
      <c r="P66" s="5">
        <v>27.654</v>
      </c>
      <c r="Q66" s="5">
        <v>26.852</v>
      </c>
      <c r="R66" s="5">
        <v>26.922999999999998</v>
      </c>
      <c r="S66" s="5">
        <v>27.023</v>
      </c>
      <c r="T66" s="5">
        <v>26.943000000000001</v>
      </c>
      <c r="U66" s="5">
        <v>28.042000000000002</v>
      </c>
      <c r="V66" s="5">
        <v>27.629000000000001</v>
      </c>
    </row>
    <row r="67" spans="1:22" ht="15.6" x14ac:dyDescent="0.25">
      <c r="A67" s="1">
        <v>9.879950775945591E-2</v>
      </c>
      <c r="B67" s="1">
        <v>-1.42</v>
      </c>
      <c r="D67" s="1">
        <v>28.574000000000002</v>
      </c>
      <c r="E67" s="1">
        <v>-0.18</v>
      </c>
      <c r="M67" s="8" t="s">
        <v>30</v>
      </c>
      <c r="N67" s="8" t="s">
        <v>31</v>
      </c>
      <c r="O67" s="6">
        <f>(O66-O65)/1.0137</f>
        <v>2.3724967939232524</v>
      </c>
      <c r="P67" s="6">
        <f t="shared" ref="P67:V67" si="14">(P66-P65)/1.0137</f>
        <v>2.9436716977409469</v>
      </c>
      <c r="Q67" s="6">
        <f t="shared" si="14"/>
        <v>2.0341323863075873</v>
      </c>
      <c r="R67" s="6">
        <f t="shared" si="14"/>
        <v>2.2008483772319205</v>
      </c>
      <c r="S67" s="6">
        <f t="shared" si="14"/>
        <v>2.3034428331853611</v>
      </c>
      <c r="T67" s="6">
        <f t="shared" si="14"/>
        <v>2.1830916444707515</v>
      </c>
      <c r="U67" s="6">
        <f t="shared" si="14"/>
        <v>3.2277794219197018</v>
      </c>
      <c r="V67" s="6">
        <f t="shared" si="14"/>
        <v>2.8065502614185678</v>
      </c>
    </row>
    <row r="68" spans="1:22" ht="15.6" x14ac:dyDescent="0.25">
      <c r="A68" s="1">
        <v>0.15405636037651299</v>
      </c>
      <c r="B68" s="1">
        <v>-0.49</v>
      </c>
      <c r="D68" s="1">
        <v>28.538</v>
      </c>
      <c r="E68" s="1">
        <v>-0.26</v>
      </c>
      <c r="M68" s="8" t="s">
        <v>82</v>
      </c>
      <c r="N68" s="8" t="s">
        <v>33</v>
      </c>
      <c r="O68" s="6">
        <f>O67*0.0137</f>
        <v>3.2503206076748559E-2</v>
      </c>
      <c r="P68" s="6">
        <f t="shared" ref="P68:V68" si="15">P67*0.0137</f>
        <v>4.0328302259050972E-2</v>
      </c>
      <c r="Q68" s="6">
        <f t="shared" si="15"/>
        <v>2.7867613692413949E-2</v>
      </c>
      <c r="R68" s="6">
        <f t="shared" si="15"/>
        <v>3.0151622768077313E-2</v>
      </c>
      <c r="S68" s="6">
        <f t="shared" si="15"/>
        <v>3.1557166814639451E-2</v>
      </c>
      <c r="T68" s="6">
        <f t="shared" si="15"/>
        <v>2.9908355529249298E-2</v>
      </c>
      <c r="U68" s="6">
        <f t="shared" si="15"/>
        <v>4.4220578080299916E-2</v>
      </c>
      <c r="V68" s="6">
        <f t="shared" si="15"/>
        <v>3.8449738581434377E-2</v>
      </c>
    </row>
    <row r="69" spans="1:22" ht="15.6" x14ac:dyDescent="0.25">
      <c r="A69" s="1">
        <v>0.17790855032120029</v>
      </c>
      <c r="B69" s="1">
        <v>-0.31</v>
      </c>
      <c r="D69" s="1">
        <v>28.513999999999999</v>
      </c>
      <c r="E69" s="1">
        <v>-0.2</v>
      </c>
      <c r="M69" s="8" t="s">
        <v>83</v>
      </c>
      <c r="N69" s="8" t="s">
        <v>81</v>
      </c>
      <c r="O69" s="6">
        <v>27.212</v>
      </c>
      <c r="P69" s="5">
        <v>27.718</v>
      </c>
      <c r="Q69" s="5">
        <v>26.972999999999999</v>
      </c>
      <c r="R69" s="5">
        <v>27.143999999999998</v>
      </c>
      <c r="S69" s="5">
        <v>27.295000000000002</v>
      </c>
      <c r="T69" s="5">
        <v>27.321999999999999</v>
      </c>
      <c r="U69" s="5">
        <v>28.47</v>
      </c>
      <c r="V69" s="5">
        <v>28.100999999999999</v>
      </c>
    </row>
    <row r="70" spans="1:22" ht="15.6" x14ac:dyDescent="0.25">
      <c r="A70" s="1">
        <v>0.25286445549028325</v>
      </c>
      <c r="B70" s="1">
        <v>-0.18</v>
      </c>
      <c r="D70" s="1">
        <v>28.481999999999999</v>
      </c>
      <c r="E70" s="1">
        <v>-0.25</v>
      </c>
      <c r="M70" s="8" t="s">
        <v>84</v>
      </c>
      <c r="N70" s="8" t="s">
        <v>85</v>
      </c>
      <c r="O70" s="6">
        <f>O69-O66</f>
        <v>5.1999999999999602E-2</v>
      </c>
      <c r="P70" s="6">
        <f t="shared" ref="P70:V70" si="16">P69-P66</f>
        <v>6.4000000000000057E-2</v>
      </c>
      <c r="Q70" s="6">
        <f t="shared" si="16"/>
        <v>0.12099999999999866</v>
      </c>
      <c r="R70" s="6">
        <f t="shared" si="16"/>
        <v>0.22100000000000009</v>
      </c>
      <c r="S70" s="6">
        <f t="shared" si="16"/>
        <v>0.27200000000000202</v>
      </c>
      <c r="T70" s="6">
        <f t="shared" si="16"/>
        <v>0.37899999999999778</v>
      </c>
      <c r="U70" s="6">
        <f t="shared" si="16"/>
        <v>0.42799999999999727</v>
      </c>
      <c r="V70" s="6">
        <f t="shared" si="16"/>
        <v>0.47199999999999775</v>
      </c>
    </row>
    <row r="71" spans="1:22" ht="15.6" x14ac:dyDescent="0.25">
      <c r="A71" s="1">
        <v>0.19750351466992541</v>
      </c>
      <c r="B71" s="1">
        <v>-0.37</v>
      </c>
      <c r="D71" s="1">
        <v>28.443999999999999</v>
      </c>
      <c r="E71" s="1">
        <v>-0.17</v>
      </c>
      <c r="M71" s="8" t="s">
        <v>86</v>
      </c>
      <c r="N71" s="8" t="s">
        <v>87</v>
      </c>
      <c r="O71" s="6">
        <f>(O68+O70)*1.35/O67</f>
        <v>4.8084081081080844E-2</v>
      </c>
      <c r="P71" s="6">
        <f t="shared" ref="P71:V71" si="17">(P68+P70)*1.35/P67</f>
        <v>4.7846099195710506E-2</v>
      </c>
      <c r="Q71" s="6">
        <f t="shared" si="17"/>
        <v>9.879950775945591E-2</v>
      </c>
      <c r="R71" s="6">
        <f t="shared" si="17"/>
        <v>0.15405636037651299</v>
      </c>
      <c r="S71" s="6">
        <f t="shared" si="17"/>
        <v>0.17790855032120029</v>
      </c>
      <c r="T71" s="6">
        <f t="shared" si="17"/>
        <v>0.25286445549028325</v>
      </c>
      <c r="U71" s="6">
        <f t="shared" si="17"/>
        <v>0.19750351466992541</v>
      </c>
      <c r="V71" s="6">
        <f t="shared" si="17"/>
        <v>0.24553529525483184</v>
      </c>
    </row>
    <row r="72" spans="1:22" ht="15.6" x14ac:dyDescent="0.25">
      <c r="A72" s="1">
        <v>0.24553529525483184</v>
      </c>
      <c r="B72" s="1">
        <v>-0.24</v>
      </c>
      <c r="D72" s="1">
        <v>28.4</v>
      </c>
      <c r="E72" s="1">
        <v>-0.23</v>
      </c>
      <c r="M72" s="8" t="s">
        <v>88</v>
      </c>
      <c r="N72" s="8" t="s">
        <v>89</v>
      </c>
      <c r="O72" s="6">
        <v>-8.66</v>
      </c>
      <c r="P72" s="6">
        <v>-8.58</v>
      </c>
      <c r="Q72" s="6">
        <v>-1.42</v>
      </c>
      <c r="R72" s="6">
        <v>-0.49</v>
      </c>
      <c r="S72" s="6">
        <v>-0.31</v>
      </c>
      <c r="T72" s="6">
        <v>-0.18</v>
      </c>
      <c r="U72" s="6">
        <v>-0.37</v>
      </c>
      <c r="V72" s="6">
        <v>-0.24</v>
      </c>
    </row>
    <row r="73" spans="1:22" x14ac:dyDescent="0.25">
      <c r="A73" s="1">
        <f>(D65-$I$65+$J$65)/$K$65*1.35</f>
        <v>0.51057597891036854</v>
      </c>
      <c r="B73" s="1">
        <f>E65</f>
        <v>-0.16</v>
      </c>
      <c r="D73" s="1">
        <v>28.37</v>
      </c>
      <c r="E73" s="1">
        <v>-0.25</v>
      </c>
    </row>
    <row r="74" spans="1:22" x14ac:dyDescent="0.25">
      <c r="A74" s="1">
        <f t="shared" ref="A74:A93" si="18">(D66-$I$65+$J$65)/$K$65*1.35</f>
        <v>0.49325934622143996</v>
      </c>
      <c r="B74" s="1">
        <f t="shared" ref="B74:B93" si="19">E66</f>
        <v>-0.19</v>
      </c>
      <c r="D74" s="1">
        <v>28.324000000000002</v>
      </c>
      <c r="E74" s="1">
        <v>-0.26</v>
      </c>
    </row>
    <row r="75" spans="1:22" x14ac:dyDescent="0.25">
      <c r="A75" s="1">
        <f t="shared" si="18"/>
        <v>0.47305660808435834</v>
      </c>
      <c r="B75" s="1">
        <f t="shared" si="19"/>
        <v>-0.18</v>
      </c>
      <c r="D75" s="1">
        <v>28.292999999999999</v>
      </c>
      <c r="E75" s="1">
        <v>-0.28000000000000003</v>
      </c>
    </row>
    <row r="76" spans="1:22" x14ac:dyDescent="0.25">
      <c r="A76" s="1">
        <f t="shared" si="18"/>
        <v>0.45573997539542976</v>
      </c>
      <c r="B76" s="1">
        <f t="shared" si="19"/>
        <v>-0.26</v>
      </c>
      <c r="D76" s="1">
        <v>28.251000000000001</v>
      </c>
      <c r="E76" s="1">
        <v>-0.3</v>
      </c>
    </row>
    <row r="77" spans="1:22" x14ac:dyDescent="0.25">
      <c r="A77" s="1">
        <f t="shared" si="18"/>
        <v>0.44419555360281071</v>
      </c>
      <c r="B77" s="1">
        <f t="shared" si="19"/>
        <v>-0.2</v>
      </c>
      <c r="D77" s="1">
        <v>28.207000000000001</v>
      </c>
      <c r="E77" s="1">
        <v>-0.31</v>
      </c>
    </row>
    <row r="78" spans="1:22" x14ac:dyDescent="0.25">
      <c r="A78" s="1">
        <f t="shared" si="18"/>
        <v>0.42880299121265253</v>
      </c>
      <c r="B78" s="1">
        <f t="shared" si="19"/>
        <v>-0.25</v>
      </c>
      <c r="D78" s="1">
        <v>28.161000000000001</v>
      </c>
      <c r="E78" s="1">
        <v>-0.33</v>
      </c>
    </row>
    <row r="79" spans="1:22" x14ac:dyDescent="0.25">
      <c r="A79" s="1">
        <f t="shared" si="18"/>
        <v>0.41052432337433964</v>
      </c>
      <c r="B79" s="1">
        <f t="shared" si="19"/>
        <v>-0.17</v>
      </c>
      <c r="D79" s="1">
        <v>28.134</v>
      </c>
      <c r="E79" s="1">
        <v>-0.34</v>
      </c>
    </row>
    <row r="80" spans="1:22" x14ac:dyDescent="0.25">
      <c r="A80" s="1">
        <f t="shared" si="18"/>
        <v>0.38935955008787188</v>
      </c>
      <c r="B80" s="1">
        <f t="shared" si="19"/>
        <v>-0.23</v>
      </c>
      <c r="D80" s="1">
        <v>28.068999999999999</v>
      </c>
      <c r="E80" s="1">
        <v>-0.38</v>
      </c>
    </row>
    <row r="81" spans="1:11" x14ac:dyDescent="0.25">
      <c r="A81" s="1">
        <f t="shared" si="18"/>
        <v>0.37492902284709978</v>
      </c>
      <c r="B81" s="1">
        <f t="shared" si="19"/>
        <v>-0.25</v>
      </c>
      <c r="D81" s="1">
        <v>28.029</v>
      </c>
      <c r="E81" s="1">
        <v>-0.4</v>
      </c>
    </row>
    <row r="82" spans="1:11" x14ac:dyDescent="0.25">
      <c r="A82" s="1">
        <f t="shared" si="18"/>
        <v>0.35280221441124771</v>
      </c>
      <c r="B82" s="1">
        <f t="shared" si="19"/>
        <v>-0.26</v>
      </c>
      <c r="D82" s="1">
        <v>27.989000000000001</v>
      </c>
      <c r="E82" s="1">
        <v>-0.47</v>
      </c>
    </row>
    <row r="83" spans="1:11" x14ac:dyDescent="0.25">
      <c r="A83" s="1">
        <f t="shared" si="18"/>
        <v>0.33789066959578085</v>
      </c>
      <c r="B83" s="1">
        <f t="shared" si="19"/>
        <v>-0.28000000000000003</v>
      </c>
      <c r="D83" s="1">
        <v>27.925999999999998</v>
      </c>
      <c r="E83" s="1">
        <v>-0.66</v>
      </c>
    </row>
    <row r="84" spans="1:11" x14ac:dyDescent="0.25">
      <c r="A84" s="1">
        <f t="shared" si="18"/>
        <v>0.31768793145869922</v>
      </c>
      <c r="B84" s="1">
        <f t="shared" si="19"/>
        <v>-0.3</v>
      </c>
      <c r="D84" s="1">
        <v>27.888000000000002</v>
      </c>
      <c r="E84" s="1">
        <v>-0.78</v>
      </c>
    </row>
    <row r="85" spans="1:11" x14ac:dyDescent="0.25">
      <c r="A85" s="1">
        <f t="shared" si="18"/>
        <v>0.29652315817223152</v>
      </c>
      <c r="B85" s="1">
        <f t="shared" si="19"/>
        <v>-0.31</v>
      </c>
      <c r="D85" s="1">
        <v>27.838999999999999</v>
      </c>
      <c r="E85" s="1">
        <v>-1.08</v>
      </c>
    </row>
    <row r="86" spans="1:11" x14ac:dyDescent="0.25">
      <c r="A86" s="1">
        <f t="shared" si="18"/>
        <v>0.27439634973637944</v>
      </c>
      <c r="B86" s="1">
        <f t="shared" si="19"/>
        <v>-0.33</v>
      </c>
    </row>
    <row r="87" spans="1:11" x14ac:dyDescent="0.25">
      <c r="A87" s="1">
        <f t="shared" si="18"/>
        <v>0.26140887521968303</v>
      </c>
      <c r="B87" s="1">
        <f t="shared" si="19"/>
        <v>-0.34</v>
      </c>
    </row>
    <row r="88" spans="1:11" x14ac:dyDescent="0.25">
      <c r="A88" s="1">
        <f t="shared" si="18"/>
        <v>0.2301427328646736</v>
      </c>
      <c r="B88" s="1">
        <f t="shared" si="19"/>
        <v>-0.38</v>
      </c>
    </row>
    <row r="89" spans="1:11" x14ac:dyDescent="0.25">
      <c r="A89" s="1">
        <f t="shared" si="18"/>
        <v>0.21090202987697632</v>
      </c>
      <c r="B89" s="1">
        <f t="shared" si="19"/>
        <v>-0.4</v>
      </c>
    </row>
    <row r="90" spans="1:11" x14ac:dyDescent="0.25">
      <c r="A90" s="1">
        <f t="shared" si="18"/>
        <v>0.19166132688927903</v>
      </c>
      <c r="B90" s="1">
        <f t="shared" si="19"/>
        <v>-0.47</v>
      </c>
    </row>
    <row r="91" spans="1:11" x14ac:dyDescent="0.25">
      <c r="A91" s="1">
        <f t="shared" si="18"/>
        <v>0.16135721968365402</v>
      </c>
      <c r="B91" s="1">
        <f t="shared" si="19"/>
        <v>-0.66</v>
      </c>
    </row>
    <row r="92" spans="1:11" x14ac:dyDescent="0.25">
      <c r="A92" s="1">
        <f t="shared" si="18"/>
        <v>0.14307855184534277</v>
      </c>
      <c r="B92" s="1">
        <f t="shared" si="19"/>
        <v>-0.78</v>
      </c>
      <c r="D92" s="7"/>
      <c r="E92" s="7"/>
      <c r="F92" s="4"/>
      <c r="G92" s="4"/>
      <c r="H92" s="4"/>
      <c r="I92" s="4"/>
      <c r="J92" s="4"/>
      <c r="K92" s="4"/>
    </row>
    <row r="93" spans="1:11" x14ac:dyDescent="0.25">
      <c r="A93" s="1">
        <f t="shared" si="18"/>
        <v>0.11950869068541164</v>
      </c>
      <c r="B93" s="1">
        <f t="shared" si="19"/>
        <v>-1.08</v>
      </c>
      <c r="F93" s="4"/>
      <c r="G93" s="4"/>
      <c r="H93" s="4"/>
      <c r="I93" s="4"/>
      <c r="J93" s="4"/>
      <c r="K93" s="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workbookViewId="0">
      <selection activeCell="A65" sqref="A65:B72"/>
    </sheetView>
  </sheetViews>
  <sheetFormatPr defaultRowHeight="13.8" x14ac:dyDescent="0.25"/>
  <cols>
    <col min="1" max="1" width="23.77734375" style="1" customWidth="1"/>
    <col min="2" max="2" width="18.5546875" style="1" customWidth="1"/>
    <col min="3" max="3" width="4.88671875" style="1" customWidth="1"/>
    <col min="4" max="4" width="14.88671875" style="1" customWidth="1"/>
    <col min="5" max="5" width="11.33203125" style="1" customWidth="1"/>
    <col min="6" max="6" width="8.88671875" style="1"/>
    <col min="7" max="7" width="12.33203125" style="1" customWidth="1"/>
    <col min="8" max="8" width="14.88671875" style="1" customWidth="1"/>
    <col min="9" max="9" width="21.109375" style="1" customWidth="1"/>
    <col min="10" max="10" width="14.109375" style="1" customWidth="1"/>
    <col min="11" max="11" width="13.77734375" style="1" customWidth="1"/>
    <col min="12" max="12" width="8.88671875" style="1"/>
    <col min="13" max="13" width="31.6640625" style="1" customWidth="1"/>
    <col min="14" max="14" width="8.88671875" style="1"/>
    <col min="15" max="15" width="11.6640625" style="1" bestFit="1" customWidth="1"/>
    <col min="16" max="22" width="10.44140625" style="1" bestFit="1" customWidth="1"/>
    <col min="23" max="16384" width="8.88671875" style="1"/>
  </cols>
  <sheetData>
    <row r="1" spans="1:22" ht="15.6" x14ac:dyDescent="0.25">
      <c r="A1" s="2" t="s">
        <v>0</v>
      </c>
      <c r="B1" s="1" t="s">
        <v>1</v>
      </c>
      <c r="D1" s="7" t="s">
        <v>102</v>
      </c>
      <c r="E1" s="7" t="s">
        <v>103</v>
      </c>
      <c r="F1" s="4"/>
      <c r="G1" s="4" t="s">
        <v>3</v>
      </c>
      <c r="H1" s="4" t="s">
        <v>104</v>
      </c>
      <c r="I1" s="4" t="s">
        <v>105</v>
      </c>
      <c r="J1" s="4" t="s">
        <v>106</v>
      </c>
      <c r="K1" s="4" t="s">
        <v>107</v>
      </c>
      <c r="M1" s="12" t="s">
        <v>77</v>
      </c>
      <c r="N1" s="12" t="s">
        <v>17</v>
      </c>
      <c r="O1" s="13" t="s">
        <v>79</v>
      </c>
      <c r="P1" s="13" t="s">
        <v>19</v>
      </c>
      <c r="Q1" s="13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</row>
    <row r="2" spans="1:22" ht="15.6" x14ac:dyDescent="0.25">
      <c r="A2" s="1">
        <v>6.5777889213602059E-2</v>
      </c>
      <c r="B2" s="1">
        <v>-12.19</v>
      </c>
      <c r="D2" s="1">
        <v>29.914000000000001</v>
      </c>
      <c r="E2" s="1">
        <v>0</v>
      </c>
      <c r="F2" s="4"/>
      <c r="G2" s="4">
        <f>D2</f>
        <v>29.914000000000001</v>
      </c>
      <c r="H2" s="4">
        <v>24.815999999999999</v>
      </c>
      <c r="I2" s="4">
        <v>28.431999999999999</v>
      </c>
      <c r="J2" s="4">
        <v>8.6473401659346014E-2</v>
      </c>
      <c r="K2" s="4">
        <v>3.5295265983406536</v>
      </c>
      <c r="M2" s="14" t="s">
        <v>108</v>
      </c>
      <c r="N2" s="14" t="s">
        <v>109</v>
      </c>
      <c r="O2" s="15">
        <v>24.789000000000001</v>
      </c>
      <c r="P2" s="16">
        <v>24.370999999999999</v>
      </c>
      <c r="Q2" s="16">
        <v>24.736000000000001</v>
      </c>
      <c r="R2" s="16">
        <v>24.451000000000001</v>
      </c>
      <c r="S2" s="16">
        <v>24.805</v>
      </c>
      <c r="T2" s="16">
        <v>24.815999999999999</v>
      </c>
      <c r="U2" s="16">
        <v>24.776</v>
      </c>
      <c r="V2" s="16">
        <v>24.768999999999998</v>
      </c>
    </row>
    <row r="3" spans="1:22" ht="15" customHeight="1" x14ac:dyDescent="0.25">
      <c r="A3" s="1">
        <v>0.11420828972734821</v>
      </c>
      <c r="B3" s="1">
        <v>-1.04</v>
      </c>
      <c r="D3" s="1">
        <v>29.856000000000002</v>
      </c>
      <c r="E3" s="1">
        <v>-0.22</v>
      </c>
      <c r="M3" s="14" t="s">
        <v>53</v>
      </c>
      <c r="N3" s="14" t="s">
        <v>109</v>
      </c>
      <c r="O3" s="15">
        <v>28.553000000000001</v>
      </c>
      <c r="P3" s="16">
        <v>28.001999999999999</v>
      </c>
      <c r="Q3" s="16">
        <v>27.754999999999999</v>
      </c>
      <c r="R3" s="16">
        <v>27.8</v>
      </c>
      <c r="S3" s="16">
        <v>27.867000000000001</v>
      </c>
      <c r="T3" s="16">
        <v>28.431999999999999</v>
      </c>
      <c r="U3" s="16">
        <v>28.891999999999999</v>
      </c>
      <c r="V3" s="16">
        <v>28.128</v>
      </c>
    </row>
    <row r="4" spans="1:22" ht="15.6" x14ac:dyDescent="0.25">
      <c r="A4" s="1">
        <v>0.16913769460086159</v>
      </c>
      <c r="B4" s="1">
        <v>-0.21</v>
      </c>
      <c r="D4" s="1">
        <v>29.818000000000001</v>
      </c>
      <c r="E4" s="1">
        <v>-0.19</v>
      </c>
      <c r="M4" s="12" t="s">
        <v>110</v>
      </c>
      <c r="N4" s="12" t="s">
        <v>31</v>
      </c>
      <c r="O4" s="17">
        <f>(O3-O2)/1.0245</f>
        <v>3.6739873108833572</v>
      </c>
      <c r="P4" s="17">
        <f t="shared" ref="P4:V4" si="0">(P3-P2)/1.0245</f>
        <v>3.5441678867740363</v>
      </c>
      <c r="Q4" s="17">
        <f t="shared" si="0"/>
        <v>2.9468033186920435</v>
      </c>
      <c r="R4" s="17">
        <f t="shared" si="0"/>
        <v>3.2689116642264522</v>
      </c>
      <c r="S4" s="17">
        <f t="shared" si="0"/>
        <v>2.9887750122010748</v>
      </c>
      <c r="T4" s="17">
        <f t="shared" si="0"/>
        <v>3.5295265983406536</v>
      </c>
      <c r="U4" s="17">
        <f t="shared" si="0"/>
        <v>4.0175695461200585</v>
      </c>
      <c r="V4" s="17">
        <f t="shared" si="0"/>
        <v>3.2786725231820419</v>
      </c>
    </row>
    <row r="5" spans="1:22" ht="15.6" x14ac:dyDescent="0.25">
      <c r="A5" s="1">
        <v>0.18918200209017619</v>
      </c>
      <c r="B5" s="1">
        <v>-0.22</v>
      </c>
      <c r="D5" s="1">
        <v>29.773</v>
      </c>
      <c r="E5" s="1">
        <v>-0.16</v>
      </c>
      <c r="M5" s="12" t="s">
        <v>111</v>
      </c>
      <c r="N5" s="12" t="s">
        <v>33</v>
      </c>
      <c r="O5" s="17">
        <f>O4*0.0245</f>
        <v>9.0012689116642258E-2</v>
      </c>
      <c r="P5" s="17">
        <f t="shared" ref="P5:V5" si="1">P4*0.0245</f>
        <v>8.6832113225963889E-2</v>
      </c>
      <c r="Q5" s="17">
        <f t="shared" si="1"/>
        <v>7.2196681307955063E-2</v>
      </c>
      <c r="R5" s="17">
        <f t="shared" si="1"/>
        <v>8.0088335773548083E-2</v>
      </c>
      <c r="S5" s="17">
        <f t="shared" si="1"/>
        <v>7.3224987798926333E-2</v>
      </c>
      <c r="T5" s="17">
        <f t="shared" si="1"/>
        <v>8.6473401659346014E-2</v>
      </c>
      <c r="U5" s="17">
        <f t="shared" si="1"/>
        <v>9.843045387994144E-2</v>
      </c>
      <c r="V5" s="17">
        <f t="shared" si="1"/>
        <v>8.0327476817960028E-2</v>
      </c>
    </row>
    <row r="6" spans="1:22" ht="15.6" x14ac:dyDescent="0.25">
      <c r="A6" s="1">
        <v>0.28556975016329078</v>
      </c>
      <c r="B6" s="1">
        <v>0.02</v>
      </c>
      <c r="D6" s="1">
        <v>29.666</v>
      </c>
      <c r="E6" s="1">
        <v>-0.31</v>
      </c>
      <c r="M6" s="12" t="s">
        <v>83</v>
      </c>
      <c r="N6" s="12" t="s">
        <v>29</v>
      </c>
      <c r="O6" s="17">
        <v>28.641999999999999</v>
      </c>
      <c r="P6" s="16">
        <v>28.215</v>
      </c>
      <c r="Q6" s="16">
        <v>28.052</v>
      </c>
      <c r="R6" s="16">
        <v>28.178000000000001</v>
      </c>
      <c r="S6" s="16">
        <v>28.425999999999998</v>
      </c>
      <c r="T6" s="16">
        <v>29.045999999999999</v>
      </c>
      <c r="U6" s="16">
        <v>29.556000000000001</v>
      </c>
      <c r="V6" s="16">
        <v>28.754999999999999</v>
      </c>
    </row>
    <row r="7" spans="1:22" ht="15.6" x14ac:dyDescent="0.25">
      <c r="A7" s="1">
        <v>0.2679223589601773</v>
      </c>
      <c r="B7" s="1">
        <v>-7.0000000000000007E-2</v>
      </c>
      <c r="D7" s="1">
        <v>29.625</v>
      </c>
      <c r="E7" s="1">
        <v>-0.3</v>
      </c>
      <c r="M7" s="12" t="s">
        <v>35</v>
      </c>
      <c r="N7" s="12" t="s">
        <v>112</v>
      </c>
      <c r="O7" s="17">
        <f>O6-O3</f>
        <v>8.8999999999998636E-2</v>
      </c>
      <c r="P7" s="17">
        <f t="shared" ref="P7:V7" si="2">P6-P3</f>
        <v>0.21300000000000097</v>
      </c>
      <c r="Q7" s="17">
        <f t="shared" si="2"/>
        <v>0.2970000000000006</v>
      </c>
      <c r="R7" s="17">
        <f t="shared" si="2"/>
        <v>0.37800000000000011</v>
      </c>
      <c r="S7" s="17">
        <f t="shared" si="2"/>
        <v>0.5589999999999975</v>
      </c>
      <c r="T7" s="17">
        <f t="shared" si="2"/>
        <v>0.61400000000000077</v>
      </c>
      <c r="U7" s="17">
        <f t="shared" si="2"/>
        <v>0.66400000000000148</v>
      </c>
      <c r="V7" s="17">
        <f t="shared" si="2"/>
        <v>0.62699999999999889</v>
      </c>
    </row>
    <row r="8" spans="1:22" ht="15.6" x14ac:dyDescent="0.25">
      <c r="A8" s="1">
        <v>0.25619497084548154</v>
      </c>
      <c r="B8" s="1">
        <v>-0.23</v>
      </c>
      <c r="D8" s="1">
        <v>29.593</v>
      </c>
      <c r="E8" s="1">
        <v>-0.32</v>
      </c>
      <c r="M8" s="12" t="s">
        <v>113</v>
      </c>
      <c r="N8" s="12" t="s">
        <v>114</v>
      </c>
      <c r="O8" s="17">
        <f>(O5+O7)*1.35/O4</f>
        <v>6.5777889213602059E-2</v>
      </c>
      <c r="P8" s="17">
        <f t="shared" ref="P8:V8" si="3">(P5+P7)*1.35/P4</f>
        <v>0.11420828972734821</v>
      </c>
      <c r="Q8" s="17">
        <f t="shared" si="3"/>
        <v>0.16913769460086159</v>
      </c>
      <c r="R8" s="17">
        <f t="shared" si="3"/>
        <v>0.18918200209017619</v>
      </c>
      <c r="S8" s="17">
        <f t="shared" si="3"/>
        <v>0.28556975016329078</v>
      </c>
      <c r="T8" s="17">
        <f t="shared" si="3"/>
        <v>0.2679223589601773</v>
      </c>
      <c r="U8" s="17">
        <f t="shared" si="3"/>
        <v>0.25619497084548154</v>
      </c>
      <c r="V8" s="17">
        <f t="shared" si="3"/>
        <v>0.29124350997320575</v>
      </c>
    </row>
    <row r="9" spans="1:22" ht="15.6" x14ac:dyDescent="0.25">
      <c r="A9" s="1">
        <v>0.29124350997320575</v>
      </c>
      <c r="B9" s="1">
        <v>-0.12</v>
      </c>
      <c r="D9" s="1">
        <v>29.501000000000001</v>
      </c>
      <c r="E9" s="1">
        <v>-0.28000000000000003</v>
      </c>
      <c r="M9" s="12" t="s">
        <v>115</v>
      </c>
      <c r="N9" s="12" t="s">
        <v>116</v>
      </c>
      <c r="O9" s="17">
        <v>-12.19</v>
      </c>
      <c r="P9" s="17">
        <v>-1.04</v>
      </c>
      <c r="Q9" s="17">
        <v>-0.21</v>
      </c>
      <c r="R9" s="17">
        <v>-0.22</v>
      </c>
      <c r="S9" s="17">
        <v>0.02</v>
      </c>
      <c r="T9" s="17">
        <v>-7.0000000000000007E-2</v>
      </c>
      <c r="U9" s="17">
        <v>-0.23</v>
      </c>
      <c r="V9" s="17">
        <v>-0.12</v>
      </c>
    </row>
    <row r="10" spans="1:22" x14ac:dyDescent="0.25">
      <c r="A10" s="1">
        <f>(D2-$I$2+$J$2)/$K$2*1.35</f>
        <v>0.59992155696902771</v>
      </c>
      <c r="B10" s="1">
        <f>E2</f>
        <v>0</v>
      </c>
      <c r="D10" s="1">
        <v>29.463999999999999</v>
      </c>
      <c r="E10" s="1">
        <v>-0.28000000000000003</v>
      </c>
    </row>
    <row r="11" spans="1:22" x14ac:dyDescent="0.25">
      <c r="A11" s="1">
        <f t="shared" ref="A11:A30" si="4">(D3-$I$2+$J$2)/$K$2*1.35</f>
        <v>0.57773727876106318</v>
      </c>
      <c r="B11" s="1">
        <f t="shared" ref="B11:B30" si="5">E3</f>
        <v>-0.22</v>
      </c>
      <c r="D11" s="1">
        <v>29.390999999999998</v>
      </c>
      <c r="E11" s="1">
        <v>-0.18</v>
      </c>
    </row>
    <row r="12" spans="1:22" x14ac:dyDescent="0.25">
      <c r="A12" s="1">
        <f t="shared" si="4"/>
        <v>0.56320275165929312</v>
      </c>
      <c r="B12" s="1">
        <f t="shared" si="5"/>
        <v>-0.19</v>
      </c>
      <c r="D12" s="1">
        <v>29.350999999999999</v>
      </c>
      <c r="E12" s="1">
        <v>-0.27</v>
      </c>
    </row>
    <row r="13" spans="1:22" x14ac:dyDescent="0.25">
      <c r="A13" s="1">
        <f t="shared" si="4"/>
        <v>0.54599081167035457</v>
      </c>
      <c r="B13" s="1">
        <f t="shared" si="5"/>
        <v>-0.16</v>
      </c>
      <c r="D13" s="1">
        <v>29.312000000000001</v>
      </c>
      <c r="E13" s="1">
        <v>-0.33</v>
      </c>
    </row>
    <row r="14" spans="1:22" x14ac:dyDescent="0.25">
      <c r="A14" s="1">
        <f t="shared" si="4"/>
        <v>0.50506464325221312</v>
      </c>
      <c r="B14" s="1">
        <f t="shared" si="5"/>
        <v>-0.31</v>
      </c>
      <c r="D14" s="1">
        <v>29.257000000000001</v>
      </c>
      <c r="E14" s="1">
        <v>-0.34</v>
      </c>
    </row>
    <row r="15" spans="1:22" x14ac:dyDescent="0.25">
      <c r="A15" s="1">
        <f t="shared" si="4"/>
        <v>0.48938265348451387</v>
      </c>
      <c r="B15" s="1">
        <f t="shared" si="5"/>
        <v>-0.3</v>
      </c>
      <c r="D15" s="1">
        <v>29.202999999999999</v>
      </c>
      <c r="E15" s="1">
        <v>-0.33</v>
      </c>
    </row>
    <row r="16" spans="1:22" x14ac:dyDescent="0.25">
      <c r="A16" s="1">
        <f t="shared" si="4"/>
        <v>0.47714305171460236</v>
      </c>
      <c r="B16" s="1">
        <f t="shared" si="5"/>
        <v>-0.32</v>
      </c>
      <c r="D16" s="1">
        <v>29.18</v>
      </c>
      <c r="E16" s="1">
        <v>-0.38</v>
      </c>
    </row>
    <row r="17" spans="1:22" x14ac:dyDescent="0.25">
      <c r="A17" s="1">
        <f t="shared" si="4"/>
        <v>0.4419541966261073</v>
      </c>
      <c r="B17" s="1">
        <f t="shared" si="5"/>
        <v>-0.28000000000000003</v>
      </c>
      <c r="D17" s="1">
        <v>29.122</v>
      </c>
      <c r="E17" s="1">
        <v>-0.34</v>
      </c>
    </row>
    <row r="18" spans="1:22" x14ac:dyDescent="0.25">
      <c r="A18" s="1">
        <f t="shared" si="4"/>
        <v>0.42780215707964614</v>
      </c>
      <c r="B18" s="1">
        <f t="shared" si="5"/>
        <v>-0.28000000000000003</v>
      </c>
      <c r="D18" s="1">
        <v>29.085000000000001</v>
      </c>
      <c r="E18" s="1">
        <v>-0.34</v>
      </c>
    </row>
    <row r="19" spans="1:22" x14ac:dyDescent="0.25">
      <c r="A19" s="1">
        <f t="shared" si="4"/>
        <v>0.39988056554203527</v>
      </c>
      <c r="B19" s="1">
        <f t="shared" si="5"/>
        <v>-0.18</v>
      </c>
      <c r="D19" s="1">
        <v>29.05</v>
      </c>
      <c r="E19" s="1">
        <v>-0.39</v>
      </c>
    </row>
    <row r="20" spans="1:22" x14ac:dyDescent="0.25">
      <c r="A20" s="1">
        <f t="shared" si="4"/>
        <v>0.38458106332964631</v>
      </c>
      <c r="B20" s="1">
        <f t="shared" si="5"/>
        <v>-0.27</v>
      </c>
      <c r="D20" s="1">
        <v>29.021999999999998</v>
      </c>
      <c r="E20" s="1">
        <v>-0.39</v>
      </c>
    </row>
    <row r="21" spans="1:22" x14ac:dyDescent="0.25">
      <c r="A21" s="1">
        <f t="shared" si="4"/>
        <v>0.36966404867256741</v>
      </c>
      <c r="B21" s="1">
        <f t="shared" si="5"/>
        <v>-0.33</v>
      </c>
      <c r="D21" s="1">
        <v>28.992000000000001</v>
      </c>
      <c r="E21" s="1">
        <v>-0.42</v>
      </c>
    </row>
    <row r="22" spans="1:22" x14ac:dyDescent="0.25">
      <c r="A22" s="1">
        <f t="shared" si="4"/>
        <v>0.34862723313053212</v>
      </c>
      <c r="B22" s="1">
        <f t="shared" si="5"/>
        <v>-0.34</v>
      </c>
      <c r="D22" s="1">
        <v>28.959</v>
      </c>
      <c r="E22" s="1">
        <v>-0.36</v>
      </c>
    </row>
    <row r="23" spans="1:22" x14ac:dyDescent="0.25">
      <c r="A23" s="1">
        <f t="shared" si="4"/>
        <v>0.32797290514380567</v>
      </c>
      <c r="B23" s="1">
        <f t="shared" si="5"/>
        <v>-0.33</v>
      </c>
    </row>
    <row r="24" spans="1:22" x14ac:dyDescent="0.25">
      <c r="A24" s="1">
        <f t="shared" si="4"/>
        <v>0.31917569137168189</v>
      </c>
      <c r="B24" s="1">
        <f t="shared" si="5"/>
        <v>-0.38</v>
      </c>
    </row>
    <row r="25" spans="1:22" x14ac:dyDescent="0.25">
      <c r="A25" s="1">
        <f t="shared" si="4"/>
        <v>0.29699141316371735</v>
      </c>
      <c r="B25" s="1">
        <f t="shared" si="5"/>
        <v>-0.34</v>
      </c>
    </row>
    <row r="26" spans="1:22" x14ac:dyDescent="0.25">
      <c r="A26" s="1">
        <f t="shared" si="4"/>
        <v>0.28283937361725758</v>
      </c>
      <c r="B26" s="1">
        <f t="shared" si="5"/>
        <v>-0.34</v>
      </c>
    </row>
    <row r="27" spans="1:22" x14ac:dyDescent="0.25">
      <c r="A27" s="1">
        <f t="shared" si="4"/>
        <v>0.26945230918141677</v>
      </c>
      <c r="B27" s="1">
        <f t="shared" si="5"/>
        <v>-0.39</v>
      </c>
    </row>
    <row r="28" spans="1:22" x14ac:dyDescent="0.25">
      <c r="A28" s="1">
        <f t="shared" si="4"/>
        <v>0.25874265763274334</v>
      </c>
      <c r="B28" s="1">
        <f t="shared" si="5"/>
        <v>-0.39</v>
      </c>
    </row>
    <row r="29" spans="1:22" x14ac:dyDescent="0.25">
      <c r="A29" s="1">
        <f t="shared" si="4"/>
        <v>0.24726803097345226</v>
      </c>
      <c r="B29" s="1">
        <f t="shared" si="5"/>
        <v>-0.42</v>
      </c>
      <c r="D29" s="7"/>
      <c r="E29" s="7"/>
      <c r="F29" s="4"/>
      <c r="G29" s="4"/>
      <c r="H29" s="4"/>
      <c r="I29" s="4"/>
      <c r="J29" s="4"/>
      <c r="K29" s="4"/>
    </row>
    <row r="30" spans="1:22" x14ac:dyDescent="0.25">
      <c r="A30" s="1">
        <f t="shared" si="4"/>
        <v>0.23464594164823049</v>
      </c>
      <c r="B30" s="1">
        <f t="shared" si="5"/>
        <v>-0.36</v>
      </c>
      <c r="F30" s="4"/>
      <c r="G30" s="4"/>
      <c r="H30" s="4"/>
      <c r="I30" s="4"/>
      <c r="J30" s="4"/>
      <c r="K30" s="4"/>
    </row>
    <row r="32" spans="1:22" ht="15.6" x14ac:dyDescent="0.25">
      <c r="A32" s="2" t="s">
        <v>0</v>
      </c>
      <c r="B32" s="1" t="s">
        <v>1</v>
      </c>
      <c r="D32" s="7" t="s">
        <v>117</v>
      </c>
      <c r="E32" s="7" t="s">
        <v>118</v>
      </c>
      <c r="F32" s="4"/>
      <c r="G32" s="4" t="s">
        <v>3</v>
      </c>
      <c r="H32" s="4" t="s">
        <v>119</v>
      </c>
      <c r="I32" s="4" t="s">
        <v>120</v>
      </c>
      <c r="J32" s="4" t="s">
        <v>121</v>
      </c>
      <c r="K32" s="4" t="s">
        <v>122</v>
      </c>
      <c r="M32" s="12" t="s">
        <v>77</v>
      </c>
      <c r="N32" s="12" t="s">
        <v>17</v>
      </c>
      <c r="O32" s="13" t="s">
        <v>79</v>
      </c>
      <c r="P32" s="13" t="s">
        <v>19</v>
      </c>
      <c r="Q32" s="13" t="s">
        <v>20</v>
      </c>
      <c r="R32" s="13" t="s">
        <v>21</v>
      </c>
      <c r="S32" s="13" t="s">
        <v>22</v>
      </c>
      <c r="T32" s="13" t="s">
        <v>23</v>
      </c>
      <c r="U32" s="13" t="s">
        <v>24</v>
      </c>
      <c r="V32" s="13" t="s">
        <v>25</v>
      </c>
    </row>
    <row r="33" spans="1:22" ht="15.6" x14ac:dyDescent="0.25">
      <c r="A33" s="1">
        <v>6.5777889213602059E-2</v>
      </c>
      <c r="B33" s="1">
        <v>-12.19</v>
      </c>
      <c r="D33" s="1">
        <v>30.481999999999999</v>
      </c>
      <c r="E33" s="1">
        <v>-0.12</v>
      </c>
      <c r="F33" s="4"/>
      <c r="G33" s="4">
        <f>D33</f>
        <v>30.481999999999999</v>
      </c>
      <c r="H33" s="4">
        <v>24.776</v>
      </c>
      <c r="I33" s="4">
        <v>28.891999999999999</v>
      </c>
      <c r="J33" s="4">
        <v>9.843045387994144E-2</v>
      </c>
      <c r="K33" s="4">
        <v>4.0175695461200585</v>
      </c>
      <c r="M33" s="14" t="s">
        <v>108</v>
      </c>
      <c r="N33" s="14" t="s">
        <v>109</v>
      </c>
      <c r="O33" s="15">
        <v>24.789000000000001</v>
      </c>
      <c r="P33" s="16">
        <v>24.370999999999999</v>
      </c>
      <c r="Q33" s="16">
        <v>24.736000000000001</v>
      </c>
      <c r="R33" s="16">
        <v>24.451000000000001</v>
      </c>
      <c r="S33" s="16">
        <v>24.805</v>
      </c>
      <c r="T33" s="16">
        <v>24.815999999999999</v>
      </c>
      <c r="U33" s="16">
        <v>24.776</v>
      </c>
      <c r="V33" s="16">
        <v>24.768999999999998</v>
      </c>
    </row>
    <row r="34" spans="1:22" ht="15.6" x14ac:dyDescent="0.25">
      <c r="A34" s="1">
        <v>0.11420828972734821</v>
      </c>
      <c r="B34" s="1">
        <v>-1.04</v>
      </c>
      <c r="D34" s="1">
        <v>30.423999999999999</v>
      </c>
      <c r="E34" s="1">
        <v>-0.1</v>
      </c>
      <c r="M34" s="14" t="s">
        <v>53</v>
      </c>
      <c r="N34" s="14" t="s">
        <v>109</v>
      </c>
      <c r="O34" s="15">
        <v>28.553000000000001</v>
      </c>
      <c r="P34" s="16">
        <v>28.001999999999999</v>
      </c>
      <c r="Q34" s="16">
        <v>27.754999999999999</v>
      </c>
      <c r="R34" s="16">
        <v>27.8</v>
      </c>
      <c r="S34" s="16">
        <v>27.867000000000001</v>
      </c>
      <c r="T34" s="16">
        <v>28.431999999999999</v>
      </c>
      <c r="U34" s="16">
        <v>28.891999999999999</v>
      </c>
      <c r="V34" s="16">
        <v>28.128</v>
      </c>
    </row>
    <row r="35" spans="1:22" ht="15.6" x14ac:dyDescent="0.25">
      <c r="A35" s="1">
        <v>0.16913769460086159</v>
      </c>
      <c r="B35" s="1">
        <v>-0.21</v>
      </c>
      <c r="D35" s="1">
        <v>30.385000000000002</v>
      </c>
      <c r="E35" s="1">
        <v>-0.18</v>
      </c>
      <c r="M35" s="12" t="s">
        <v>110</v>
      </c>
      <c r="N35" s="12" t="s">
        <v>31</v>
      </c>
      <c r="O35" s="17">
        <f>(O34-O33)/1.0245</f>
        <v>3.6739873108833572</v>
      </c>
      <c r="P35" s="17">
        <f t="shared" ref="P35:V35" si="6">(P34-P33)/1.0245</f>
        <v>3.5441678867740363</v>
      </c>
      <c r="Q35" s="17">
        <f t="shared" si="6"/>
        <v>2.9468033186920435</v>
      </c>
      <c r="R35" s="17">
        <f t="shared" si="6"/>
        <v>3.2689116642264522</v>
      </c>
      <c r="S35" s="17">
        <f t="shared" si="6"/>
        <v>2.9887750122010748</v>
      </c>
      <c r="T35" s="17">
        <f t="shared" si="6"/>
        <v>3.5295265983406536</v>
      </c>
      <c r="U35" s="17">
        <f t="shared" si="6"/>
        <v>4.0175695461200585</v>
      </c>
      <c r="V35" s="17">
        <f t="shared" si="6"/>
        <v>3.2786725231820419</v>
      </c>
    </row>
    <row r="36" spans="1:22" ht="15.6" x14ac:dyDescent="0.25">
      <c r="A36" s="1">
        <v>0.18918200209017619</v>
      </c>
      <c r="B36" s="1">
        <v>-0.22</v>
      </c>
      <c r="D36" s="1">
        <v>30.335000000000001</v>
      </c>
      <c r="E36" s="1">
        <v>-0.2</v>
      </c>
      <c r="M36" s="12" t="s">
        <v>111</v>
      </c>
      <c r="N36" s="12" t="s">
        <v>33</v>
      </c>
      <c r="O36" s="17">
        <f>O35*0.0245</f>
        <v>9.0012689116642258E-2</v>
      </c>
      <c r="P36" s="17">
        <f t="shared" ref="P36:V36" si="7">P35*0.0245</f>
        <v>8.6832113225963889E-2</v>
      </c>
      <c r="Q36" s="17">
        <f t="shared" si="7"/>
        <v>7.2196681307955063E-2</v>
      </c>
      <c r="R36" s="17">
        <f t="shared" si="7"/>
        <v>8.0088335773548083E-2</v>
      </c>
      <c r="S36" s="17">
        <f t="shared" si="7"/>
        <v>7.3224987798926333E-2</v>
      </c>
      <c r="T36" s="17">
        <f t="shared" si="7"/>
        <v>8.6473401659346014E-2</v>
      </c>
      <c r="U36" s="17">
        <f t="shared" si="7"/>
        <v>9.843045387994144E-2</v>
      </c>
      <c r="V36" s="17">
        <f t="shared" si="7"/>
        <v>8.0327476817960028E-2</v>
      </c>
    </row>
    <row r="37" spans="1:22" ht="15.6" x14ac:dyDescent="0.25">
      <c r="A37" s="1">
        <v>0.28556975016329078</v>
      </c>
      <c r="B37" s="1">
        <v>0.02</v>
      </c>
      <c r="D37" s="1">
        <v>30.303000000000001</v>
      </c>
      <c r="E37" s="1">
        <v>-0.21</v>
      </c>
      <c r="M37" s="12" t="s">
        <v>83</v>
      </c>
      <c r="N37" s="12" t="s">
        <v>29</v>
      </c>
      <c r="O37" s="17">
        <v>28.641999999999999</v>
      </c>
      <c r="P37" s="16">
        <v>28.215</v>
      </c>
      <c r="Q37" s="16">
        <v>28.052</v>
      </c>
      <c r="R37" s="16">
        <v>28.178000000000001</v>
      </c>
      <c r="S37" s="16">
        <v>28.425999999999998</v>
      </c>
      <c r="T37" s="16">
        <v>29.045999999999999</v>
      </c>
      <c r="U37" s="16">
        <v>29.556000000000001</v>
      </c>
      <c r="V37" s="16">
        <v>28.754999999999999</v>
      </c>
    </row>
    <row r="38" spans="1:22" ht="15.6" x14ac:dyDescent="0.25">
      <c r="A38" s="1">
        <v>0.2679223589601773</v>
      </c>
      <c r="B38" s="1">
        <v>-7.0000000000000007E-2</v>
      </c>
      <c r="D38" s="1">
        <v>30.268000000000001</v>
      </c>
      <c r="E38" s="1">
        <v>-0.23</v>
      </c>
      <c r="M38" s="12" t="s">
        <v>35</v>
      </c>
      <c r="N38" s="12" t="s">
        <v>112</v>
      </c>
      <c r="O38" s="17">
        <f>O37-O34</f>
        <v>8.8999999999998636E-2</v>
      </c>
      <c r="P38" s="17">
        <f t="shared" ref="P38:V38" si="8">P37-P34</f>
        <v>0.21300000000000097</v>
      </c>
      <c r="Q38" s="17">
        <f t="shared" si="8"/>
        <v>0.2970000000000006</v>
      </c>
      <c r="R38" s="17">
        <f t="shared" si="8"/>
        <v>0.37800000000000011</v>
      </c>
      <c r="S38" s="17">
        <f t="shared" si="8"/>
        <v>0.5589999999999975</v>
      </c>
      <c r="T38" s="17">
        <f t="shared" si="8"/>
        <v>0.61400000000000077</v>
      </c>
      <c r="U38" s="17">
        <f t="shared" si="8"/>
        <v>0.66400000000000148</v>
      </c>
      <c r="V38" s="17">
        <f t="shared" si="8"/>
        <v>0.62699999999999889</v>
      </c>
    </row>
    <row r="39" spans="1:22" ht="15.6" x14ac:dyDescent="0.25">
      <c r="A39" s="1">
        <v>0.25619497084548154</v>
      </c>
      <c r="B39" s="1">
        <v>-0.23</v>
      </c>
      <c r="D39" s="1">
        <v>30.202999999999999</v>
      </c>
      <c r="E39" s="1">
        <v>-0.25</v>
      </c>
      <c r="M39" s="12" t="s">
        <v>113</v>
      </c>
      <c r="N39" s="12" t="s">
        <v>114</v>
      </c>
      <c r="O39" s="17">
        <f>(O36+O38)*1.35/O35</f>
        <v>6.5777889213602059E-2</v>
      </c>
      <c r="P39" s="17">
        <f t="shared" ref="P39:V39" si="9">(P36+P38)*1.35/P35</f>
        <v>0.11420828972734821</v>
      </c>
      <c r="Q39" s="17">
        <f t="shared" si="9"/>
        <v>0.16913769460086159</v>
      </c>
      <c r="R39" s="17">
        <f t="shared" si="9"/>
        <v>0.18918200209017619</v>
      </c>
      <c r="S39" s="17">
        <f t="shared" si="9"/>
        <v>0.28556975016329078</v>
      </c>
      <c r="T39" s="17">
        <f t="shared" si="9"/>
        <v>0.2679223589601773</v>
      </c>
      <c r="U39" s="17">
        <f t="shared" si="9"/>
        <v>0.25619497084548154</v>
      </c>
      <c r="V39" s="17">
        <f t="shared" si="9"/>
        <v>0.29124350997320575</v>
      </c>
    </row>
    <row r="40" spans="1:22" ht="15.6" x14ac:dyDescent="0.25">
      <c r="A40" s="1">
        <v>0.29124350997320575</v>
      </c>
      <c r="B40" s="1">
        <v>-0.12</v>
      </c>
      <c r="D40" s="1">
        <v>30.138999999999999</v>
      </c>
      <c r="E40" s="1">
        <v>-0.12</v>
      </c>
      <c r="M40" s="12" t="s">
        <v>115</v>
      </c>
      <c r="N40" s="12" t="s">
        <v>116</v>
      </c>
      <c r="O40" s="17">
        <v>-12.19</v>
      </c>
      <c r="P40" s="17">
        <v>-1.04</v>
      </c>
      <c r="Q40" s="17">
        <v>-0.21</v>
      </c>
      <c r="R40" s="17">
        <v>-0.22</v>
      </c>
      <c r="S40" s="17">
        <v>0.02</v>
      </c>
      <c r="T40" s="17">
        <v>-7.0000000000000007E-2</v>
      </c>
      <c r="U40" s="17">
        <v>-0.23</v>
      </c>
      <c r="V40" s="17">
        <v>-0.12</v>
      </c>
    </row>
    <row r="41" spans="1:22" x14ac:dyDescent="0.25">
      <c r="A41" s="1">
        <f>(D33-$I$33+$J$33)/$K$33*1.35</f>
        <v>0.56735324344023319</v>
      </c>
      <c r="B41" s="1">
        <f>E33</f>
        <v>-0.12</v>
      </c>
      <c r="D41" s="1">
        <v>30.103000000000002</v>
      </c>
      <c r="E41" s="1">
        <v>-0.21</v>
      </c>
    </row>
    <row r="42" spans="1:22" x14ac:dyDescent="0.25">
      <c r="A42" s="1">
        <f t="shared" ref="A42:A57" si="10">(D34-$I$33+$J$33)/$K$33*1.35</f>
        <v>0.54786384839650148</v>
      </c>
      <c r="B42" s="1">
        <f t="shared" ref="B42:B57" si="11">E34</f>
        <v>-0.1</v>
      </c>
      <c r="D42" s="1">
        <v>29.98</v>
      </c>
      <c r="E42" s="1">
        <v>-0.28999999999999998</v>
      </c>
    </row>
    <row r="43" spans="1:22" x14ac:dyDescent="0.25">
      <c r="A43" s="1">
        <f t="shared" si="10"/>
        <v>0.53475891034985501</v>
      </c>
      <c r="B43" s="1">
        <f t="shared" si="11"/>
        <v>-0.18</v>
      </c>
      <c r="D43" s="1">
        <v>29.946000000000002</v>
      </c>
      <c r="E43" s="1">
        <v>-0.23</v>
      </c>
    </row>
    <row r="44" spans="1:22" x14ac:dyDescent="0.25">
      <c r="A44" s="1">
        <f t="shared" si="10"/>
        <v>0.51795770772594796</v>
      </c>
      <c r="B44" s="1">
        <f t="shared" si="11"/>
        <v>-0.2</v>
      </c>
      <c r="D44" s="1">
        <v>29.898</v>
      </c>
      <c r="E44" s="1">
        <v>-0.2</v>
      </c>
    </row>
    <row r="45" spans="1:22" x14ac:dyDescent="0.25">
      <c r="A45" s="1">
        <f t="shared" si="10"/>
        <v>0.50720493804664779</v>
      </c>
      <c r="B45" s="1">
        <f t="shared" si="11"/>
        <v>-0.21</v>
      </c>
      <c r="D45" s="1">
        <v>29.843</v>
      </c>
      <c r="E45" s="1">
        <v>-0.27</v>
      </c>
    </row>
    <row r="46" spans="1:22" x14ac:dyDescent="0.25">
      <c r="A46" s="1">
        <f t="shared" si="10"/>
        <v>0.49544409620991298</v>
      </c>
      <c r="B46" s="1">
        <f t="shared" si="11"/>
        <v>-0.23</v>
      </c>
      <c r="D46" s="1">
        <v>29.789000000000001</v>
      </c>
      <c r="E46" s="1">
        <v>-0.3</v>
      </c>
    </row>
    <row r="47" spans="1:22" x14ac:dyDescent="0.25">
      <c r="A47" s="1">
        <f t="shared" si="10"/>
        <v>0.47360253279883385</v>
      </c>
      <c r="B47" s="1">
        <f t="shared" si="11"/>
        <v>-0.25</v>
      </c>
      <c r="D47" s="1">
        <v>29.760999999999999</v>
      </c>
      <c r="E47" s="1">
        <v>-0.31</v>
      </c>
    </row>
    <row r="48" spans="1:22" x14ac:dyDescent="0.25">
      <c r="A48" s="1">
        <f t="shared" si="10"/>
        <v>0.45209699344023324</v>
      </c>
      <c r="B48" s="1">
        <f t="shared" si="11"/>
        <v>-0.12</v>
      </c>
      <c r="D48" s="1">
        <v>29.704999999999998</v>
      </c>
      <c r="E48" s="1">
        <v>-0.27</v>
      </c>
    </row>
    <row r="49" spans="1:22" x14ac:dyDescent="0.25">
      <c r="A49" s="1">
        <f t="shared" si="10"/>
        <v>0.44000012755102114</v>
      </c>
      <c r="B49" s="1">
        <f t="shared" si="11"/>
        <v>-0.21</v>
      </c>
      <c r="D49" s="1">
        <v>29.652999999999999</v>
      </c>
      <c r="E49" s="1">
        <v>-0.2</v>
      </c>
    </row>
    <row r="50" spans="1:22" x14ac:dyDescent="0.25">
      <c r="A50" s="1">
        <f t="shared" si="10"/>
        <v>0.39866916909621025</v>
      </c>
      <c r="B50" s="1">
        <f t="shared" si="11"/>
        <v>-0.28999999999999998</v>
      </c>
      <c r="D50" s="1">
        <v>29.619</v>
      </c>
      <c r="E50" s="1">
        <v>-0.28999999999999998</v>
      </c>
    </row>
    <row r="51" spans="1:22" x14ac:dyDescent="0.25">
      <c r="A51" s="1">
        <f t="shared" si="10"/>
        <v>0.38724435131195406</v>
      </c>
      <c r="B51" s="1">
        <f t="shared" si="11"/>
        <v>-0.23</v>
      </c>
      <c r="D51" s="1">
        <v>29.588000000000001</v>
      </c>
      <c r="E51" s="1">
        <v>-0.28000000000000003</v>
      </c>
    </row>
    <row r="52" spans="1:22" x14ac:dyDescent="0.25">
      <c r="A52" s="1">
        <f t="shared" si="10"/>
        <v>0.37111519679300303</v>
      </c>
      <c r="B52" s="1">
        <f t="shared" si="11"/>
        <v>-0.2</v>
      </c>
      <c r="D52" s="1">
        <v>29.559000000000001</v>
      </c>
      <c r="E52" s="1">
        <v>-0.3</v>
      </c>
    </row>
    <row r="53" spans="1:22" x14ac:dyDescent="0.25">
      <c r="A53" s="1">
        <f t="shared" si="10"/>
        <v>0.3526338739067057</v>
      </c>
      <c r="B53" s="1">
        <f t="shared" si="11"/>
        <v>-0.27</v>
      </c>
      <c r="D53" s="1">
        <v>29.518000000000001</v>
      </c>
      <c r="E53" s="1">
        <v>-0.33</v>
      </c>
    </row>
    <row r="54" spans="1:22" x14ac:dyDescent="0.25">
      <c r="A54" s="1">
        <f t="shared" si="10"/>
        <v>0.33448857507288704</v>
      </c>
      <c r="B54" s="1">
        <f t="shared" si="11"/>
        <v>-0.3</v>
      </c>
    </row>
    <row r="55" spans="1:22" x14ac:dyDescent="0.25">
      <c r="A55" s="1">
        <f t="shared" si="10"/>
        <v>0.32507990160349848</v>
      </c>
      <c r="B55" s="1">
        <f t="shared" si="11"/>
        <v>-0.31</v>
      </c>
    </row>
    <row r="56" spans="1:22" x14ac:dyDescent="0.25">
      <c r="A56" s="1">
        <f t="shared" si="10"/>
        <v>0.30626255466472269</v>
      </c>
      <c r="B56" s="1">
        <f t="shared" si="11"/>
        <v>-0.27</v>
      </c>
    </row>
    <row r="57" spans="1:22" x14ac:dyDescent="0.25">
      <c r="A57" s="1">
        <f t="shared" si="10"/>
        <v>0.28878930393585983</v>
      </c>
      <c r="B57" s="1">
        <f t="shared" si="11"/>
        <v>-0.2</v>
      </c>
    </row>
    <row r="58" spans="1:22" x14ac:dyDescent="0.25">
      <c r="A58" s="1">
        <f>(D50-$I$33+$J$33)/$K$33*1.35</f>
        <v>0.27736448615160364</v>
      </c>
      <c r="B58" s="1">
        <f>E50</f>
        <v>-0.28999999999999998</v>
      </c>
    </row>
    <row r="59" spans="1:22" x14ac:dyDescent="0.25">
      <c r="A59" s="1">
        <f t="shared" ref="A59:A61" si="12">(D51-$I$33+$J$33)/$K$33*1.35</f>
        <v>0.26694774052478187</v>
      </c>
      <c r="B59" s="1">
        <f t="shared" ref="B59:B61" si="13">E51</f>
        <v>-0.28000000000000003</v>
      </c>
    </row>
    <row r="60" spans="1:22" x14ac:dyDescent="0.25">
      <c r="A60" s="1">
        <f t="shared" si="12"/>
        <v>0.25720304300291602</v>
      </c>
      <c r="B60" s="1">
        <f t="shared" si="13"/>
        <v>-0.3</v>
      </c>
      <c r="D60" s="7"/>
      <c r="E60" s="7"/>
      <c r="F60" s="4"/>
      <c r="G60" s="4"/>
      <c r="H60" s="4"/>
      <c r="I60" s="4"/>
      <c r="J60" s="4"/>
      <c r="K60" s="4"/>
    </row>
    <row r="61" spans="1:22" x14ac:dyDescent="0.25">
      <c r="A61" s="1">
        <f t="shared" si="12"/>
        <v>0.24342605685131238</v>
      </c>
      <c r="B61" s="1">
        <f t="shared" si="13"/>
        <v>-0.33</v>
      </c>
      <c r="F61" s="4"/>
      <c r="G61" s="4"/>
      <c r="H61" s="4"/>
      <c r="I61" s="4"/>
      <c r="J61" s="4"/>
      <c r="K61" s="4"/>
    </row>
    <row r="64" spans="1:22" ht="15.6" x14ac:dyDescent="0.25">
      <c r="A64" s="2" t="s">
        <v>0</v>
      </c>
      <c r="B64" s="1" t="s">
        <v>1</v>
      </c>
      <c r="D64" s="7" t="s">
        <v>123</v>
      </c>
      <c r="E64" s="7" t="s">
        <v>124</v>
      </c>
      <c r="F64" s="4"/>
      <c r="G64" s="4" t="s">
        <v>3</v>
      </c>
      <c r="H64" s="4" t="s">
        <v>125</v>
      </c>
      <c r="I64" s="4" t="s">
        <v>126</v>
      </c>
      <c r="J64" s="4" t="s">
        <v>127</v>
      </c>
      <c r="K64" s="4" t="s">
        <v>128</v>
      </c>
      <c r="M64" s="12" t="s">
        <v>77</v>
      </c>
      <c r="N64" s="12" t="s">
        <v>17</v>
      </c>
      <c r="O64" s="13" t="s">
        <v>79</v>
      </c>
      <c r="P64" s="13" t="s">
        <v>19</v>
      </c>
      <c r="Q64" s="13" t="s">
        <v>20</v>
      </c>
      <c r="R64" s="13" t="s">
        <v>21</v>
      </c>
      <c r="S64" s="13" t="s">
        <v>22</v>
      </c>
      <c r="T64" s="13" t="s">
        <v>23</v>
      </c>
      <c r="U64" s="13" t="s">
        <v>24</v>
      </c>
      <c r="V64" s="13" t="s">
        <v>25</v>
      </c>
    </row>
    <row r="65" spans="1:22" ht="15.6" x14ac:dyDescent="0.25">
      <c r="A65" s="1">
        <v>6.5777889213602059E-2</v>
      </c>
      <c r="B65" s="1">
        <v>-12.19</v>
      </c>
      <c r="D65" s="1">
        <v>29.622</v>
      </c>
      <c r="E65" s="1">
        <v>0.13</v>
      </c>
      <c r="F65" s="4"/>
      <c r="G65" s="4">
        <f>D65</f>
        <v>29.622</v>
      </c>
      <c r="H65" s="4">
        <v>24.768999999999998</v>
      </c>
      <c r="I65" s="4">
        <v>28.128</v>
      </c>
      <c r="J65" s="4">
        <v>8.0327476817960028E-2</v>
      </c>
      <c r="K65" s="4">
        <v>3.2786725231820419</v>
      </c>
      <c r="M65" s="14" t="s">
        <v>108</v>
      </c>
      <c r="N65" s="14" t="s">
        <v>109</v>
      </c>
      <c r="O65" s="15">
        <v>24.789000000000001</v>
      </c>
      <c r="P65" s="16">
        <v>24.370999999999999</v>
      </c>
      <c r="Q65" s="16">
        <v>24.736000000000001</v>
      </c>
      <c r="R65" s="16">
        <v>24.451000000000001</v>
      </c>
      <c r="S65" s="16">
        <v>24.805</v>
      </c>
      <c r="T65" s="16">
        <v>24.815999999999999</v>
      </c>
      <c r="U65" s="16">
        <v>24.776</v>
      </c>
      <c r="V65" s="16">
        <v>24.768999999999998</v>
      </c>
    </row>
    <row r="66" spans="1:22" ht="15.6" x14ac:dyDescent="0.25">
      <c r="A66" s="1">
        <v>0.11420828972734821</v>
      </c>
      <c r="B66" s="1">
        <v>-1.04</v>
      </c>
      <c r="D66" s="1">
        <v>29.559000000000001</v>
      </c>
      <c r="E66" s="1">
        <v>-0.12</v>
      </c>
      <c r="M66" s="14" t="s">
        <v>53</v>
      </c>
      <c r="N66" s="14" t="s">
        <v>109</v>
      </c>
      <c r="O66" s="15">
        <v>28.553000000000001</v>
      </c>
      <c r="P66" s="16">
        <v>28.001999999999999</v>
      </c>
      <c r="Q66" s="16">
        <v>27.754999999999999</v>
      </c>
      <c r="R66" s="16">
        <v>27.8</v>
      </c>
      <c r="S66" s="16">
        <v>27.867000000000001</v>
      </c>
      <c r="T66" s="16">
        <v>28.431999999999999</v>
      </c>
      <c r="U66" s="16">
        <v>28.891999999999999</v>
      </c>
      <c r="V66" s="16">
        <v>28.128</v>
      </c>
    </row>
    <row r="67" spans="1:22" ht="15.6" x14ac:dyDescent="0.25">
      <c r="A67" s="1">
        <v>0.16913769460086159</v>
      </c>
      <c r="B67" s="1">
        <v>-0.21</v>
      </c>
      <c r="D67" s="1">
        <v>29.518999999999998</v>
      </c>
      <c r="E67" s="1">
        <v>-0.24</v>
      </c>
      <c r="M67" s="12" t="s">
        <v>110</v>
      </c>
      <c r="N67" s="12" t="s">
        <v>31</v>
      </c>
      <c r="O67" s="17">
        <f>(O66-O65)/1.0245</f>
        <v>3.6739873108833572</v>
      </c>
      <c r="P67" s="17">
        <f t="shared" ref="P67:V67" si="14">(P66-P65)/1.0245</f>
        <v>3.5441678867740363</v>
      </c>
      <c r="Q67" s="17">
        <f t="shared" si="14"/>
        <v>2.9468033186920435</v>
      </c>
      <c r="R67" s="17">
        <f t="shared" si="14"/>
        <v>3.2689116642264522</v>
      </c>
      <c r="S67" s="17">
        <f t="shared" si="14"/>
        <v>2.9887750122010748</v>
      </c>
      <c r="T67" s="17">
        <f t="shared" si="14"/>
        <v>3.5295265983406536</v>
      </c>
      <c r="U67" s="17">
        <f t="shared" si="14"/>
        <v>4.0175695461200585</v>
      </c>
      <c r="V67" s="17">
        <f t="shared" si="14"/>
        <v>3.2786725231820419</v>
      </c>
    </row>
    <row r="68" spans="1:22" ht="15.6" x14ac:dyDescent="0.25">
      <c r="A68" s="1">
        <v>0.18918200209017619</v>
      </c>
      <c r="B68" s="1">
        <v>-0.22</v>
      </c>
      <c r="D68" s="1">
        <v>29.411000000000001</v>
      </c>
      <c r="E68" s="1">
        <v>-0.26</v>
      </c>
      <c r="M68" s="12" t="s">
        <v>111</v>
      </c>
      <c r="N68" s="12" t="s">
        <v>33</v>
      </c>
      <c r="O68" s="17">
        <f>O67*0.0245</f>
        <v>9.0012689116642258E-2</v>
      </c>
      <c r="P68" s="17">
        <f t="shared" ref="P68:V68" si="15">P67*0.0245</f>
        <v>8.6832113225963889E-2</v>
      </c>
      <c r="Q68" s="17">
        <f t="shared" si="15"/>
        <v>7.2196681307955063E-2</v>
      </c>
      <c r="R68" s="17">
        <f t="shared" si="15"/>
        <v>8.0088335773548083E-2</v>
      </c>
      <c r="S68" s="17">
        <f t="shared" si="15"/>
        <v>7.3224987798926333E-2</v>
      </c>
      <c r="T68" s="17">
        <f t="shared" si="15"/>
        <v>8.6473401659346014E-2</v>
      </c>
      <c r="U68" s="17">
        <f t="shared" si="15"/>
        <v>9.843045387994144E-2</v>
      </c>
      <c r="V68" s="17">
        <f t="shared" si="15"/>
        <v>8.0327476817960028E-2</v>
      </c>
    </row>
    <row r="69" spans="1:22" ht="15.6" x14ac:dyDescent="0.25">
      <c r="A69" s="1">
        <v>0.28556975016329078</v>
      </c>
      <c r="B69" s="1">
        <v>0.02</v>
      </c>
      <c r="D69" s="1">
        <v>29.373000000000001</v>
      </c>
      <c r="E69" s="1">
        <v>-0.24</v>
      </c>
      <c r="M69" s="12" t="s">
        <v>83</v>
      </c>
      <c r="N69" s="12" t="s">
        <v>29</v>
      </c>
      <c r="O69" s="17">
        <v>28.641999999999999</v>
      </c>
      <c r="P69" s="16">
        <v>28.215</v>
      </c>
      <c r="Q69" s="16">
        <v>28.052</v>
      </c>
      <c r="R69" s="16">
        <v>28.178000000000001</v>
      </c>
      <c r="S69" s="16">
        <v>28.425999999999998</v>
      </c>
      <c r="T69" s="16">
        <v>29.045999999999999</v>
      </c>
      <c r="U69" s="16">
        <v>29.556000000000001</v>
      </c>
      <c r="V69" s="16">
        <v>28.754999999999999</v>
      </c>
    </row>
    <row r="70" spans="1:22" ht="15.6" x14ac:dyDescent="0.25">
      <c r="A70" s="1">
        <v>0.2679223589601773</v>
      </c>
      <c r="B70" s="1">
        <v>-7.0000000000000007E-2</v>
      </c>
      <c r="D70" s="1">
        <v>29.346</v>
      </c>
      <c r="E70" s="1">
        <v>-0.35</v>
      </c>
      <c r="M70" s="12" t="s">
        <v>35</v>
      </c>
      <c r="N70" s="12" t="s">
        <v>112</v>
      </c>
      <c r="O70" s="17">
        <f>O69-O66</f>
        <v>8.8999999999998636E-2</v>
      </c>
      <c r="P70" s="17">
        <f t="shared" ref="P70:V70" si="16">P69-P66</f>
        <v>0.21300000000000097</v>
      </c>
      <c r="Q70" s="17">
        <f t="shared" si="16"/>
        <v>0.2970000000000006</v>
      </c>
      <c r="R70" s="17">
        <f t="shared" si="16"/>
        <v>0.37800000000000011</v>
      </c>
      <c r="S70" s="17">
        <f t="shared" si="16"/>
        <v>0.5589999999999975</v>
      </c>
      <c r="T70" s="17">
        <f t="shared" si="16"/>
        <v>0.61400000000000077</v>
      </c>
      <c r="U70" s="17">
        <f t="shared" si="16"/>
        <v>0.66400000000000148</v>
      </c>
      <c r="V70" s="17">
        <f t="shared" si="16"/>
        <v>0.62699999999999889</v>
      </c>
    </row>
    <row r="71" spans="1:22" ht="15.6" x14ac:dyDescent="0.25">
      <c r="A71" s="1">
        <v>0.25619497084548154</v>
      </c>
      <c r="B71" s="1">
        <v>-0.23</v>
      </c>
      <c r="D71" s="1">
        <v>29.276</v>
      </c>
      <c r="E71" s="1">
        <v>-0.26</v>
      </c>
      <c r="M71" s="12" t="s">
        <v>113</v>
      </c>
      <c r="N71" s="12" t="s">
        <v>114</v>
      </c>
      <c r="O71" s="17">
        <f>(O68+O70)*1.35/O67</f>
        <v>6.5777889213602059E-2</v>
      </c>
      <c r="P71" s="17">
        <f t="shared" ref="P71:V71" si="17">(P68+P70)*1.35/P67</f>
        <v>0.11420828972734821</v>
      </c>
      <c r="Q71" s="17">
        <f t="shared" si="17"/>
        <v>0.16913769460086159</v>
      </c>
      <c r="R71" s="17">
        <f t="shared" si="17"/>
        <v>0.18918200209017619</v>
      </c>
      <c r="S71" s="17">
        <f t="shared" si="17"/>
        <v>0.28556975016329078</v>
      </c>
      <c r="T71" s="17">
        <f t="shared" si="17"/>
        <v>0.2679223589601773</v>
      </c>
      <c r="U71" s="17">
        <f t="shared" si="17"/>
        <v>0.25619497084548154</v>
      </c>
      <c r="V71" s="17">
        <f t="shared" si="17"/>
        <v>0.29124350997320575</v>
      </c>
    </row>
    <row r="72" spans="1:22" ht="15.6" x14ac:dyDescent="0.25">
      <c r="A72" s="1">
        <v>0.29124350997320575</v>
      </c>
      <c r="B72" s="1">
        <v>-0.12</v>
      </c>
      <c r="D72" s="1">
        <v>29.212</v>
      </c>
      <c r="E72" s="1">
        <v>-0.31</v>
      </c>
      <c r="M72" s="12" t="s">
        <v>115</v>
      </c>
      <c r="N72" s="12" t="s">
        <v>116</v>
      </c>
      <c r="O72" s="17">
        <v>-12.19</v>
      </c>
      <c r="P72" s="17">
        <v>-1.04</v>
      </c>
      <c r="Q72" s="17">
        <v>-0.21</v>
      </c>
      <c r="R72" s="17">
        <v>-0.22</v>
      </c>
      <c r="S72" s="17">
        <v>0.02</v>
      </c>
      <c r="T72" s="17">
        <v>-7.0000000000000007E-2</v>
      </c>
      <c r="U72" s="17">
        <v>-0.23</v>
      </c>
      <c r="V72" s="17">
        <v>-0.12</v>
      </c>
    </row>
    <row r="73" spans="1:22" x14ac:dyDescent="0.25">
      <c r="A73" s="1">
        <f>(D65-$I$65+$J$65)/$K$65*1.35</f>
        <v>0.64823250223280693</v>
      </c>
      <c r="B73" s="1">
        <f>E65</f>
        <v>0.13</v>
      </c>
      <c r="D73" s="1">
        <v>29.202999999999999</v>
      </c>
      <c r="E73" s="1">
        <v>-0.25</v>
      </c>
    </row>
    <row r="74" spans="1:22" x14ac:dyDescent="0.25">
      <c r="A74" s="1">
        <f t="shared" ref="A74:A93" si="18">(D66-$I$65+$J$65)/$K$65*1.35</f>
        <v>0.62229212563262881</v>
      </c>
      <c r="B74" s="1">
        <f t="shared" ref="B74:B93" si="19">E66</f>
        <v>-0.12</v>
      </c>
      <c r="D74" s="1">
        <v>29.091000000000001</v>
      </c>
      <c r="E74" s="1">
        <v>-0.28999999999999998</v>
      </c>
    </row>
    <row r="75" spans="1:22" x14ac:dyDescent="0.25">
      <c r="A75" s="1">
        <f t="shared" si="18"/>
        <v>0.60582204525156202</v>
      </c>
      <c r="B75" s="1">
        <f t="shared" si="19"/>
        <v>-0.24</v>
      </c>
      <c r="D75" s="1">
        <v>29.056000000000001</v>
      </c>
      <c r="E75" s="1">
        <v>-0.31</v>
      </c>
    </row>
    <row r="76" spans="1:22" x14ac:dyDescent="0.25">
      <c r="A76" s="1">
        <f t="shared" si="18"/>
        <v>0.56135282822268551</v>
      </c>
      <c r="B76" s="1">
        <f t="shared" si="19"/>
        <v>-0.26</v>
      </c>
      <c r="D76" s="1">
        <v>29.01</v>
      </c>
      <c r="E76" s="1">
        <v>-0.38</v>
      </c>
    </row>
    <row r="77" spans="1:22" x14ac:dyDescent="0.25">
      <c r="A77" s="1">
        <f t="shared" si="18"/>
        <v>0.5457062518606729</v>
      </c>
      <c r="B77" s="1">
        <f t="shared" si="19"/>
        <v>-0.24</v>
      </c>
      <c r="D77" s="1">
        <v>28.96</v>
      </c>
      <c r="E77" s="1">
        <v>-0.32</v>
      </c>
    </row>
    <row r="78" spans="1:22" x14ac:dyDescent="0.25">
      <c r="A78" s="1">
        <f t="shared" si="18"/>
        <v>0.53458894760345321</v>
      </c>
      <c r="B78" s="1">
        <f t="shared" si="19"/>
        <v>-0.35</v>
      </c>
      <c r="D78" s="1">
        <v>28.931999999999999</v>
      </c>
      <c r="E78" s="1">
        <v>-0.31</v>
      </c>
    </row>
    <row r="79" spans="1:22" x14ac:dyDescent="0.25">
      <c r="A79" s="1">
        <f t="shared" si="18"/>
        <v>0.50576630693658786</v>
      </c>
      <c r="B79" s="1">
        <f t="shared" si="19"/>
        <v>-0.26</v>
      </c>
      <c r="D79" s="1">
        <v>28.904</v>
      </c>
      <c r="E79" s="1">
        <v>-0.37</v>
      </c>
    </row>
    <row r="80" spans="1:22" x14ac:dyDescent="0.25">
      <c r="A80" s="1">
        <f t="shared" si="18"/>
        <v>0.4794141783268826</v>
      </c>
      <c r="B80" s="1">
        <f t="shared" si="19"/>
        <v>-0.31</v>
      </c>
      <c r="D80" s="1">
        <v>28.843</v>
      </c>
      <c r="E80" s="1">
        <v>-0.37</v>
      </c>
    </row>
    <row r="81" spans="1:11" x14ac:dyDescent="0.25">
      <c r="A81" s="1">
        <f t="shared" si="18"/>
        <v>0.47570841024114274</v>
      </c>
      <c r="B81" s="1">
        <f t="shared" si="19"/>
        <v>-0.25</v>
      </c>
      <c r="D81" s="1">
        <v>28.794</v>
      </c>
      <c r="E81" s="1">
        <v>-0.28000000000000003</v>
      </c>
    </row>
    <row r="82" spans="1:11" x14ac:dyDescent="0.25">
      <c r="A82" s="1">
        <f t="shared" si="18"/>
        <v>0.4295921851741592</v>
      </c>
      <c r="B82" s="1">
        <f t="shared" si="19"/>
        <v>-0.28999999999999998</v>
      </c>
      <c r="D82" s="1">
        <v>28.763000000000002</v>
      </c>
      <c r="E82" s="1">
        <v>-0.4</v>
      </c>
    </row>
    <row r="83" spans="1:11" x14ac:dyDescent="0.25">
      <c r="A83" s="1">
        <f t="shared" si="18"/>
        <v>0.41518086484072653</v>
      </c>
      <c r="B83" s="1">
        <f t="shared" si="19"/>
        <v>-0.31</v>
      </c>
      <c r="D83" s="1">
        <v>28.731999999999999</v>
      </c>
      <c r="E83" s="1">
        <v>-0.42</v>
      </c>
    </row>
    <row r="84" spans="1:11" x14ac:dyDescent="0.25">
      <c r="A84" s="1">
        <f t="shared" si="18"/>
        <v>0.39624027240250115</v>
      </c>
      <c r="B84" s="1">
        <f t="shared" si="19"/>
        <v>-0.38</v>
      </c>
      <c r="D84" s="1">
        <v>28.696000000000002</v>
      </c>
      <c r="E84" s="1">
        <v>-0.28000000000000003</v>
      </c>
    </row>
    <row r="85" spans="1:11" x14ac:dyDescent="0.25">
      <c r="A85" s="1">
        <f t="shared" si="18"/>
        <v>0.37565267192616864</v>
      </c>
      <c r="B85" s="1">
        <f t="shared" si="19"/>
        <v>-0.32</v>
      </c>
      <c r="D85" s="1">
        <v>28.661000000000001</v>
      </c>
      <c r="E85" s="1">
        <v>-0.4</v>
      </c>
    </row>
    <row r="86" spans="1:11" x14ac:dyDescent="0.25">
      <c r="A86" s="1">
        <f t="shared" si="18"/>
        <v>0.36412361565942164</v>
      </c>
      <c r="B86" s="1">
        <f t="shared" si="19"/>
        <v>-0.31</v>
      </c>
    </row>
    <row r="87" spans="1:11" x14ac:dyDescent="0.25">
      <c r="A87" s="1">
        <f t="shared" si="18"/>
        <v>0.35259455939267614</v>
      </c>
      <c r="B87" s="1">
        <f t="shared" si="19"/>
        <v>-0.37</v>
      </c>
    </row>
    <row r="88" spans="1:11" x14ac:dyDescent="0.25">
      <c r="A88" s="1">
        <f t="shared" si="18"/>
        <v>0.32747768681155082</v>
      </c>
      <c r="B88" s="1">
        <f t="shared" si="19"/>
        <v>-0.37</v>
      </c>
    </row>
    <row r="89" spans="1:11" x14ac:dyDescent="0.25">
      <c r="A89" s="1">
        <f t="shared" si="18"/>
        <v>0.30730183834474545</v>
      </c>
      <c r="B89" s="1">
        <f t="shared" si="19"/>
        <v>-0.28000000000000003</v>
      </c>
    </row>
    <row r="90" spans="1:11" x14ac:dyDescent="0.25">
      <c r="A90" s="1">
        <f t="shared" si="18"/>
        <v>0.29453752604941996</v>
      </c>
      <c r="B90" s="1">
        <f t="shared" si="19"/>
        <v>-0.4</v>
      </c>
    </row>
    <row r="91" spans="1:11" x14ac:dyDescent="0.25">
      <c r="A91" s="1">
        <f t="shared" si="18"/>
        <v>0.28177321375409303</v>
      </c>
      <c r="B91" s="1">
        <f t="shared" si="19"/>
        <v>-0.42</v>
      </c>
    </row>
    <row r="92" spans="1:11" x14ac:dyDescent="0.25">
      <c r="A92" s="1">
        <f t="shared" si="18"/>
        <v>0.26695014141113471</v>
      </c>
      <c r="B92" s="1">
        <f t="shared" si="19"/>
        <v>-0.28000000000000003</v>
      </c>
      <c r="D92" s="7"/>
      <c r="E92" s="7"/>
      <c r="F92" s="4"/>
      <c r="G92" s="4"/>
      <c r="H92" s="4"/>
      <c r="I92" s="4"/>
      <c r="J92" s="4"/>
      <c r="K92" s="4"/>
    </row>
    <row r="93" spans="1:11" x14ac:dyDescent="0.25">
      <c r="A93" s="1">
        <f t="shared" si="18"/>
        <v>0.25253882107770209</v>
      </c>
      <c r="B93" s="1">
        <f t="shared" si="19"/>
        <v>-0.4</v>
      </c>
      <c r="F93" s="4"/>
      <c r="G93" s="4"/>
      <c r="H93" s="4"/>
      <c r="I93" s="4"/>
      <c r="J93" s="4"/>
      <c r="K93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第一大组吸湿-脱湿</vt:lpstr>
      <vt:lpstr>第二大组吸湿-脱湿</vt:lpstr>
      <vt:lpstr>第三大组吸湿-脱湿</vt:lpstr>
      <vt:lpstr>第四大组吸湿-脱湿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2018-05-12T10:46:09Z</dcterms:modified>
</cp:coreProperties>
</file>