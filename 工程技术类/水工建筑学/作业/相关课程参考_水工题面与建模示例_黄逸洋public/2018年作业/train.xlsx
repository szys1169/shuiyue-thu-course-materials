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144" firstSheet="1" activeTab="1"/>
  </bookViews>
  <sheets>
    <sheet name="坝踵处" sheetId="1" r:id="rId1"/>
    <sheet name="坝址处" sheetId="2" r:id="rId2"/>
    <sheet name="坝顶处" sheetId="5" r:id="rId3"/>
    <sheet name="滑动稳定性分析" sheetId="10" r:id="rId4"/>
    <sheet name="法向应力分布(X)" sheetId="6" r:id="rId5"/>
    <sheet name="法向应力分布(Y)" sheetId="8" r:id="rId6"/>
    <sheet name="切向力分布" sheetId="9" r:id="rId7"/>
    <sheet name="总分布" sheetId="7" r:id="rId8"/>
  </sheets>
  <calcPr calcId="162913"/>
</workbook>
</file>

<file path=xl/calcChain.xml><?xml version="1.0" encoding="utf-8"?>
<calcChain xmlns="http://schemas.openxmlformats.org/spreadsheetml/2006/main">
  <c r="B5" i="10" l="1"/>
  <c r="C5" i="10"/>
  <c r="D5" i="10"/>
  <c r="E5" i="10"/>
  <c r="F5" i="10"/>
  <c r="G5" i="10"/>
  <c r="M13" i="2" l="1"/>
  <c r="L13" i="2"/>
  <c r="K13" i="2"/>
  <c r="J13" i="2"/>
  <c r="M11" i="2"/>
  <c r="L11" i="2"/>
  <c r="K11" i="2"/>
  <c r="J11" i="2"/>
  <c r="M9" i="2"/>
  <c r="L9" i="2"/>
  <c r="K9" i="2"/>
  <c r="J9" i="2"/>
  <c r="M7" i="2"/>
  <c r="L7" i="2"/>
  <c r="K7" i="2"/>
  <c r="J7" i="2"/>
  <c r="M5" i="2"/>
  <c r="L5" i="2"/>
  <c r="K5" i="2"/>
  <c r="J5" i="2"/>
  <c r="K3" i="2"/>
  <c r="L3" i="2"/>
  <c r="M3" i="2"/>
  <c r="J3" i="2"/>
  <c r="K11" i="1"/>
  <c r="L11" i="1"/>
  <c r="M11" i="1"/>
  <c r="J11" i="1"/>
  <c r="K9" i="1"/>
  <c r="L9" i="1"/>
  <c r="M9" i="1"/>
  <c r="J9" i="1"/>
  <c r="K7" i="1"/>
  <c r="L7" i="1"/>
  <c r="M7" i="1"/>
  <c r="J7" i="1"/>
  <c r="K5" i="1"/>
  <c r="L5" i="1"/>
  <c r="M5" i="1"/>
  <c r="J5" i="1"/>
  <c r="K3" i="1"/>
  <c r="L3" i="1"/>
  <c r="M3" i="1"/>
  <c r="J3" i="1"/>
  <c r="M13" i="1"/>
  <c r="L13" i="1"/>
  <c r="K13" i="1"/>
  <c r="J13" i="1"/>
</calcChain>
</file>

<file path=xl/sharedStrings.xml><?xml version="1.0" encoding="utf-8"?>
<sst xmlns="http://schemas.openxmlformats.org/spreadsheetml/2006/main" count="92" uniqueCount="38">
  <si>
    <t>最大主应力</t>
    <phoneticPr fontId="1" type="noConversion"/>
  </si>
  <si>
    <t>最小主应力</t>
    <phoneticPr fontId="1" type="noConversion"/>
  </si>
  <si>
    <t>裂缝宽度</t>
    <phoneticPr fontId="1" type="noConversion"/>
  </si>
  <si>
    <t>50m</t>
    <phoneticPr fontId="1" type="noConversion"/>
  </si>
  <si>
    <t>X方向应变</t>
    <phoneticPr fontId="1" type="noConversion"/>
  </si>
  <si>
    <t>Y方向应变</t>
    <phoneticPr fontId="1" type="noConversion"/>
  </si>
  <si>
    <t>50m</t>
    <phoneticPr fontId="1" type="noConversion"/>
  </si>
  <si>
    <t>有孔压</t>
    <phoneticPr fontId="1" type="noConversion"/>
  </si>
  <si>
    <t>无孔压</t>
    <phoneticPr fontId="1" type="noConversion"/>
  </si>
  <si>
    <t>有孔压</t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</si>
  <si>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0m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</si>
  <si>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0m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</si>
  <si>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0m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</si>
  <si>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0m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</si>
  <si>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0m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</si>
  <si>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0m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</si>
  <si>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0m</t>
    </r>
    <phoneticPr fontId="1" type="noConversion"/>
  </si>
  <si>
    <t>20m</t>
    <phoneticPr fontId="1" type="noConversion"/>
  </si>
  <si>
    <t>10m</t>
    <phoneticPr fontId="1" type="noConversion"/>
  </si>
  <si>
    <t>10m</t>
    <phoneticPr fontId="1" type="noConversion"/>
  </si>
  <si>
    <t>0m</t>
    <phoneticPr fontId="1" type="noConversion"/>
  </si>
  <si>
    <t>0m</t>
    <phoneticPr fontId="1" type="noConversion"/>
  </si>
  <si>
    <t>0m</t>
    <phoneticPr fontId="1" type="noConversion"/>
  </si>
  <si>
    <t>总应变</t>
    <phoneticPr fontId="1" type="noConversion"/>
  </si>
  <si>
    <t>距离</t>
    <phoneticPr fontId="1" type="noConversion"/>
  </si>
  <si>
    <t>X向应力</t>
    <phoneticPr fontId="1" type="noConversion"/>
  </si>
  <si>
    <t>Y向应力</t>
    <phoneticPr fontId="1" type="noConversion"/>
  </si>
  <si>
    <t>切向力</t>
    <phoneticPr fontId="1" type="noConversion"/>
  </si>
  <si>
    <t>0m</t>
    <phoneticPr fontId="1" type="noConversion"/>
  </si>
  <si>
    <t>20m</t>
    <phoneticPr fontId="1" type="noConversion"/>
  </si>
  <si>
    <t>30m</t>
    <phoneticPr fontId="1" type="noConversion"/>
  </si>
  <si>
    <t>位置</t>
    <phoneticPr fontId="1" type="noConversion"/>
  </si>
  <si>
    <t>10m</t>
    <phoneticPr fontId="1" type="noConversion"/>
  </si>
  <si>
    <t>20m</t>
    <phoneticPr fontId="1" type="noConversion"/>
  </si>
  <si>
    <t>Fx</t>
    <phoneticPr fontId="6" type="noConversion"/>
  </si>
  <si>
    <r>
      <t>F</t>
    </r>
    <r>
      <rPr>
        <sz val="11"/>
        <color theme="1"/>
        <rFont val="宋体"/>
        <family val="3"/>
        <charset val="134"/>
        <scheme val="minor"/>
      </rPr>
      <t>y</t>
    </r>
    <phoneticPr fontId="6" type="noConversion"/>
  </si>
  <si>
    <r>
      <t>M</t>
    </r>
    <r>
      <rPr>
        <sz val="11"/>
        <color theme="1"/>
        <rFont val="宋体"/>
        <family val="3"/>
        <charset val="134"/>
        <scheme val="minor"/>
      </rPr>
      <t>z</t>
    </r>
    <phoneticPr fontId="6" type="noConversion"/>
  </si>
  <si>
    <t>抗滑稳定系数K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</si>
</sst>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1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11" fontId="0" fillId="2" borderId="0" xfId="0" applyNumberFormat="1" applyFill="1">
      <alignment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坝顶应变随裂缝宽度变化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坝顶处!$C$1</c:f>
              <c:strCache>
                <c:ptCount val="1"/>
                <c:pt idx="0">
                  <c:v>X方向应变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坝顶处!$B$2:$B$7</c:f>
              <c:numCache>
                <c:formatCode>General</c:formatCode>
                <c:ptCount val="6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</c:numCache>
            </c:numRef>
          </c:xVal>
          <c:yVal>
            <c:numRef>
              <c:f>坝顶处!$C$2:$C$7</c:f>
              <c:numCache>
                <c:formatCode>General</c:formatCode>
                <c:ptCount val="6"/>
                <c:pt idx="0">
                  <c:v>6.51616E-2</c:v>
                </c:pt>
                <c:pt idx="1">
                  <c:v>5.7015700000000002E-2</c:v>
                </c:pt>
                <c:pt idx="2">
                  <c:v>5.1363899999999997E-2</c:v>
                </c:pt>
                <c:pt idx="3">
                  <c:v>4.7257399999999998E-2</c:v>
                </c:pt>
                <c:pt idx="4">
                  <c:v>4.4063900000000003E-2</c:v>
                </c:pt>
                <c:pt idx="5">
                  <c:v>4.14454E-2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63-44D1-8EBA-32DF5F7BCFF0}"/>
            </c:ext>
          </c:extLst>
        </c:ser>
        <c:ser>
          <c:idx val="1"/>
          <c:order val="1"/>
          <c:tx>
            <c:strRef>
              <c:f>坝顶处!$D$1</c:f>
              <c:strCache>
                <c:ptCount val="1"/>
                <c:pt idx="0">
                  <c:v>Y方向应变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坝顶处!$B$2:$B$7</c:f>
              <c:numCache>
                <c:formatCode>General</c:formatCode>
                <c:ptCount val="6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</c:numCache>
            </c:numRef>
          </c:xVal>
          <c:yVal>
            <c:numRef>
              <c:f>坝顶处!$D$2:$D$7</c:f>
              <c:numCache>
                <c:formatCode>General</c:formatCode>
                <c:ptCount val="6"/>
                <c:pt idx="0">
                  <c:v>-3.8416100000000002E-2</c:v>
                </c:pt>
                <c:pt idx="1">
                  <c:v>-3.8115000000000003E-2</c:v>
                </c:pt>
                <c:pt idx="2">
                  <c:v>-3.7897800000000002E-2</c:v>
                </c:pt>
                <c:pt idx="3">
                  <c:v>-3.7805100000000001E-2</c:v>
                </c:pt>
                <c:pt idx="4">
                  <c:v>-3.7843599999999998E-2</c:v>
                </c:pt>
                <c:pt idx="5">
                  <c:v>-3.8071399999999998E-2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63-44D1-8EBA-32DF5F7BCFF0}"/>
            </c:ext>
          </c:extLst>
        </c:ser>
        <c:ser>
          <c:idx val="2"/>
          <c:order val="2"/>
          <c:tx>
            <c:strRef>
              <c:f>坝顶处!$E$1</c:f>
              <c:strCache>
                <c:ptCount val="1"/>
                <c:pt idx="0">
                  <c:v>总应变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坝顶处!$B$2:$B$7</c:f>
              <c:numCache>
                <c:formatCode>General</c:formatCode>
                <c:ptCount val="6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</c:numCache>
            </c:numRef>
          </c:xVal>
          <c:yVal>
            <c:numRef>
              <c:f>坝顶处!$E$2:$E$7</c:f>
              <c:numCache>
                <c:formatCode>General</c:formatCode>
                <c:ptCount val="6"/>
                <c:pt idx="0">
                  <c:v>7.5642699999999993E-2</c:v>
                </c:pt>
                <c:pt idx="1">
                  <c:v>6.8582400000000002E-2</c:v>
                </c:pt>
                <c:pt idx="2">
                  <c:v>6.3831799999999994E-2</c:v>
                </c:pt>
                <c:pt idx="3">
                  <c:v>6.0518500000000003E-2</c:v>
                </c:pt>
                <c:pt idx="4">
                  <c:v>5.8084200000000002E-2</c:v>
                </c:pt>
                <c:pt idx="5">
                  <c:v>5.6277399999999998E-2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63-44D1-8EBA-32DF5F7BC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745216"/>
        <c:axId val="1056545776"/>
      </c:scatterChart>
      <c:valAx>
        <c:axId val="10667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6545776"/>
        <c:crosses val="autoZero"/>
        <c:crossBetween val="midCat"/>
      </c:valAx>
      <c:valAx>
        <c:axId val="10565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674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建基面抗滑安全稳定系数随裂缝宽度变化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滑动稳定性分析!$B$1:$G$1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滑动稳定性分析!$B$5:$G$5</c:f>
              <c:numCache>
                <c:formatCode>0.00_ </c:formatCode>
                <c:ptCount val="6"/>
                <c:pt idx="0">
                  <c:v>7.4913452778621323</c:v>
                </c:pt>
                <c:pt idx="1">
                  <c:v>6.1683532658693654</c:v>
                </c:pt>
                <c:pt idx="2">
                  <c:v>6.1929223744292239</c:v>
                </c:pt>
                <c:pt idx="3">
                  <c:v>6.5708108108108112</c:v>
                </c:pt>
                <c:pt idx="4">
                  <c:v>7.1015527396037834</c:v>
                </c:pt>
                <c:pt idx="5">
                  <c:v>10.335076708507671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D5-48CF-89BD-1514A6DDD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748960"/>
        <c:axId val="1066755200"/>
      </c:scatterChart>
      <c:valAx>
        <c:axId val="106674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6755200"/>
        <c:crosses val="autoZero"/>
        <c:crossBetween val="midCat"/>
      </c:valAx>
      <c:valAx>
        <c:axId val="106675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674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建基面</a:t>
            </a:r>
            <a:r>
              <a:rPr lang="en-US" altLang="zh-CN"/>
              <a:t>σ</a:t>
            </a:r>
            <a:r>
              <a:rPr lang="en-US" altLang="zh-CN" sz="1200"/>
              <a:t>x</a:t>
            </a:r>
            <a:r>
              <a:rPr lang="zh-CN" altLang="en-US"/>
              <a:t>分布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'法向应力分布(X)'!$B$1</c:f>
              <c:strCache>
                <c:ptCount val="1"/>
                <c:pt idx="0">
                  <c:v>0m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'法向应力分布(X)'!$A$2:$A$12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'法向应力分布(X)'!$B$2:$B$12</c:f>
              <c:numCache>
                <c:formatCode>General</c:formatCode>
                <c:ptCount val="11"/>
                <c:pt idx="0">
                  <c:v>-885482</c:v>
                </c:pt>
                <c:pt idx="1">
                  <c:v>-740986</c:v>
                </c:pt>
                <c:pt idx="2">
                  <c:v>-510852</c:v>
                </c:pt>
                <c:pt idx="3">
                  <c:v>-370001</c:v>
                </c:pt>
                <c:pt idx="4">
                  <c:v>-270686</c:v>
                </c:pt>
                <c:pt idx="5">
                  <c:v>-192343</c:v>
                </c:pt>
                <c:pt idx="6">
                  <c:v>-143592</c:v>
                </c:pt>
                <c:pt idx="7">
                  <c:v>-374299</c:v>
                </c:pt>
                <c:pt idx="8">
                  <c:v>-117347</c:v>
                </c:pt>
                <c:pt idx="9">
                  <c:v>-29812.6</c:v>
                </c:pt>
                <c:pt idx="10">
                  <c:v>52039.9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25-47F6-B5D3-E90DF27A2761}"/>
            </c:ext>
          </c:extLst>
        </c:ser>
        <c:ser>
          <c:idx val="1"/>
          <c:order val="1"/>
          <c:tx>
            <c:strRef>
              <c:f>'法向应力分布(X)'!$C$1</c:f>
              <c:strCache>
                <c:ptCount val="1"/>
                <c:pt idx="0">
                  <c:v>10m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'法向应力分布(X)'!$A$2:$A$12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'法向应力分布(X)'!$C$2:$C$12</c:f>
              <c:numCache>
                <c:formatCode>0.00E+00</c:formatCode>
                <c:ptCount val="11"/>
                <c:pt idx="0">
                  <c:v>-1159760</c:v>
                </c:pt>
                <c:pt idx="1">
                  <c:v>-1131190</c:v>
                </c:pt>
                <c:pt idx="2" formatCode="General">
                  <c:v>-912661</c:v>
                </c:pt>
                <c:pt idx="3" formatCode="General">
                  <c:v>-623851</c:v>
                </c:pt>
                <c:pt idx="4" formatCode="General">
                  <c:v>-457814</c:v>
                </c:pt>
                <c:pt idx="5" formatCode="General">
                  <c:v>-340948</c:v>
                </c:pt>
                <c:pt idx="6" formatCode="General">
                  <c:v>-226064</c:v>
                </c:pt>
                <c:pt idx="7" formatCode="General">
                  <c:v>-449318</c:v>
                </c:pt>
                <c:pt idx="8" formatCode="General">
                  <c:v>-242984</c:v>
                </c:pt>
                <c:pt idx="9" formatCode="General">
                  <c:v>-141228</c:v>
                </c:pt>
                <c:pt idx="10" formatCode="General">
                  <c:v>-45286.1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25-47F6-B5D3-E90DF27A2761}"/>
            </c:ext>
          </c:extLst>
        </c:ser>
        <c:ser>
          <c:idx val="2"/>
          <c:order val="2"/>
          <c:tx>
            <c:strRef>
              <c:f>'法向应力分布(X)'!$D$1</c:f>
              <c:strCache>
                <c:ptCount val="1"/>
                <c:pt idx="0">
                  <c:v>20m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'法向应力分布(X)'!$A$2:$A$12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'法向应力分布(X)'!$D$2:$D$12</c:f>
              <c:numCache>
                <c:formatCode>0.00E+00</c:formatCode>
                <c:ptCount val="11"/>
                <c:pt idx="0">
                  <c:v>-1089930</c:v>
                </c:pt>
                <c:pt idx="1">
                  <c:v>-1211920</c:v>
                </c:pt>
                <c:pt idx="2">
                  <c:v>-1333070</c:v>
                </c:pt>
                <c:pt idx="3">
                  <c:v>-1102480</c:v>
                </c:pt>
                <c:pt idx="4" formatCode="General">
                  <c:v>-759549</c:v>
                </c:pt>
                <c:pt idx="5" formatCode="General">
                  <c:v>-570341</c:v>
                </c:pt>
                <c:pt idx="6" formatCode="General">
                  <c:v>-434956</c:v>
                </c:pt>
                <c:pt idx="7" formatCode="General">
                  <c:v>-314185</c:v>
                </c:pt>
                <c:pt idx="8" formatCode="General">
                  <c:v>-197994</c:v>
                </c:pt>
                <c:pt idx="9" formatCode="General">
                  <c:v>-352719</c:v>
                </c:pt>
                <c:pt idx="10" formatCode="General">
                  <c:v>-562232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25-47F6-B5D3-E90DF27A2761}"/>
            </c:ext>
          </c:extLst>
        </c:ser>
        <c:ser>
          <c:idx val="3"/>
          <c:order val="3"/>
          <c:tx>
            <c:strRef>
              <c:f>'法向应力分布(X)'!$E$1</c:f>
              <c:strCache>
                <c:ptCount val="1"/>
                <c:pt idx="0">
                  <c:v>30m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'法向应力分布(X)'!$A$2:$A$12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'法向应力分布(X)'!$E$2:$E$12</c:f>
              <c:numCache>
                <c:formatCode>0.00E+00</c:formatCode>
                <c:ptCount val="11"/>
                <c:pt idx="0">
                  <c:v>-1065110</c:v>
                </c:pt>
                <c:pt idx="1">
                  <c:v>-1116690</c:v>
                </c:pt>
                <c:pt idx="2">
                  <c:v>-1346600</c:v>
                </c:pt>
                <c:pt idx="3">
                  <c:v>-1542400</c:v>
                </c:pt>
                <c:pt idx="4">
                  <c:v>-1297740</c:v>
                </c:pt>
                <c:pt idx="5" formatCode="General">
                  <c:v>-913151</c:v>
                </c:pt>
                <c:pt idx="6" formatCode="General">
                  <c:v>-709714</c:v>
                </c:pt>
                <c:pt idx="7" formatCode="General">
                  <c:v>-559919</c:v>
                </c:pt>
                <c:pt idx="8" formatCode="General">
                  <c:v>-426927</c:v>
                </c:pt>
                <c:pt idx="9" formatCode="General">
                  <c:v>-549351</c:v>
                </c:pt>
                <c:pt idx="10" formatCode="General">
                  <c:v>-735942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25-47F6-B5D3-E90DF27A2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057760"/>
        <c:axId val="1067069824"/>
      </c:scatterChart>
      <c:valAx>
        <c:axId val="106705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069824"/>
        <c:crosses val="autoZero"/>
        <c:crossBetween val="midCat"/>
      </c:valAx>
      <c:valAx>
        <c:axId val="106706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057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5540223420348311"/>
          <c:y val="0.6118534113717069"/>
          <c:w val="0.38591129772571531"/>
          <c:h val="6.0160848877847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0" i="0" baseline="0">
                <a:effectLst/>
              </a:rPr>
              <a:t>建基面</a:t>
            </a:r>
            <a:r>
              <a:rPr lang="en-US" altLang="zh-CN" sz="1800" b="0" i="0" baseline="0">
                <a:effectLst/>
              </a:rPr>
              <a:t>σ</a:t>
            </a:r>
            <a:r>
              <a:rPr lang="en-US" altLang="zh-CN" sz="1400" b="0" i="0" baseline="0">
                <a:effectLst/>
              </a:rPr>
              <a:t>y</a:t>
            </a:r>
            <a:r>
              <a:rPr lang="zh-CN" altLang="zh-CN" sz="1800" b="0" i="0" baseline="0">
                <a:effectLst/>
              </a:rPr>
              <a:t>分布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768419203505072"/>
          <c:y val="0.12422764227642276"/>
          <c:w val="0.81386873884858868"/>
          <c:h val="0.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'法向应力分布(Y)'!$B$1</c:f>
              <c:strCache>
                <c:ptCount val="1"/>
                <c:pt idx="0">
                  <c:v>0m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'法向应力分布(Y)'!$A$2:$A$12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'法向应力分布(Y)'!$B$2:$B$12</c:f>
              <c:numCache>
                <c:formatCode>0.00_ </c:formatCode>
                <c:ptCount val="11"/>
                <c:pt idx="0">
                  <c:v>-1162300</c:v>
                </c:pt>
                <c:pt idx="1">
                  <c:v>-1209740</c:v>
                </c:pt>
                <c:pt idx="2">
                  <c:v>-1263000</c:v>
                </c:pt>
                <c:pt idx="3">
                  <c:v>-1291180</c:v>
                </c:pt>
                <c:pt idx="4">
                  <c:v>-1312860</c:v>
                </c:pt>
                <c:pt idx="5">
                  <c:v>-1306670</c:v>
                </c:pt>
                <c:pt idx="6">
                  <c:v>-1189130</c:v>
                </c:pt>
                <c:pt idx="7">
                  <c:v>-1111570</c:v>
                </c:pt>
                <c:pt idx="8">
                  <c:v>-1303900</c:v>
                </c:pt>
                <c:pt idx="9">
                  <c:v>-1343530</c:v>
                </c:pt>
                <c:pt idx="10">
                  <c:v>-1323550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63-41AE-94A3-E54CC2AEF9B0}"/>
            </c:ext>
          </c:extLst>
        </c:ser>
        <c:ser>
          <c:idx val="1"/>
          <c:order val="1"/>
          <c:tx>
            <c:strRef>
              <c:f>'法向应力分布(Y)'!$C$1</c:f>
              <c:strCache>
                <c:ptCount val="1"/>
                <c:pt idx="0">
                  <c:v>10m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'法向应力分布(Y)'!$A$2:$A$12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'法向应力分布(Y)'!$C$2:$C$12</c:f>
              <c:numCache>
                <c:formatCode>0.00_ </c:formatCode>
                <c:ptCount val="11"/>
                <c:pt idx="0">
                  <c:v>-1174960</c:v>
                </c:pt>
                <c:pt idx="1">
                  <c:v>-1242740</c:v>
                </c:pt>
                <c:pt idx="2">
                  <c:v>-1277150</c:v>
                </c:pt>
                <c:pt idx="3">
                  <c:v>-1265940</c:v>
                </c:pt>
                <c:pt idx="4">
                  <c:v>-1289850</c:v>
                </c:pt>
                <c:pt idx="5">
                  <c:v>-1283880</c:v>
                </c:pt>
                <c:pt idx="6">
                  <c:v>-1218120</c:v>
                </c:pt>
                <c:pt idx="7">
                  <c:v>-1164940</c:v>
                </c:pt>
                <c:pt idx="8">
                  <c:v>-1283890</c:v>
                </c:pt>
                <c:pt idx="9">
                  <c:v>-1332980</c:v>
                </c:pt>
                <c:pt idx="10">
                  <c:v>-1322820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63-41AE-94A3-E54CC2AEF9B0}"/>
            </c:ext>
          </c:extLst>
        </c:ser>
        <c:ser>
          <c:idx val="2"/>
          <c:order val="2"/>
          <c:tx>
            <c:strRef>
              <c:f>'法向应力分布(Y)'!$D$1</c:f>
              <c:strCache>
                <c:ptCount val="1"/>
                <c:pt idx="0">
                  <c:v>20m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'法向应力分布(Y)'!$A$2:$A$12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'法向应力分布(Y)'!$D$2:$D$12</c:f>
              <c:numCache>
                <c:formatCode>0.00_ </c:formatCode>
                <c:ptCount val="11"/>
                <c:pt idx="0">
                  <c:v>-1120640</c:v>
                </c:pt>
                <c:pt idx="1">
                  <c:v>-1120640</c:v>
                </c:pt>
                <c:pt idx="2">
                  <c:v>-1347400</c:v>
                </c:pt>
                <c:pt idx="3">
                  <c:v>-1314180</c:v>
                </c:pt>
                <c:pt idx="4">
                  <c:v>-1263930</c:v>
                </c:pt>
                <c:pt idx="5">
                  <c:v>-1257170</c:v>
                </c:pt>
                <c:pt idx="6">
                  <c:v>-1251590</c:v>
                </c:pt>
                <c:pt idx="7">
                  <c:v>-1307870</c:v>
                </c:pt>
                <c:pt idx="8">
                  <c:v>-1308700</c:v>
                </c:pt>
                <c:pt idx="9">
                  <c:v>-1244230</c:v>
                </c:pt>
                <c:pt idx="10">
                  <c:v>-1227640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63-41AE-94A3-E54CC2AEF9B0}"/>
            </c:ext>
          </c:extLst>
        </c:ser>
        <c:ser>
          <c:idx val="3"/>
          <c:order val="3"/>
          <c:tx>
            <c:strRef>
              <c:f>'法向应力分布(Y)'!$E$1</c:f>
              <c:strCache>
                <c:ptCount val="1"/>
                <c:pt idx="0">
                  <c:v>30m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'法向应力分布(Y)'!$A$2:$A$12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'法向应力分布(Y)'!$E$2:$E$12</c:f>
              <c:numCache>
                <c:formatCode>0.00_ </c:formatCode>
                <c:ptCount val="11"/>
                <c:pt idx="0">
                  <c:v>-1170230</c:v>
                </c:pt>
                <c:pt idx="1">
                  <c:v>-1196130</c:v>
                </c:pt>
                <c:pt idx="2">
                  <c:v>-1299180</c:v>
                </c:pt>
                <c:pt idx="3">
                  <c:v>-1387050</c:v>
                </c:pt>
                <c:pt idx="4">
                  <c:v>-1313120</c:v>
                </c:pt>
                <c:pt idx="5">
                  <c:v>-1222490</c:v>
                </c:pt>
                <c:pt idx="6">
                  <c:v>-1211150</c:v>
                </c:pt>
                <c:pt idx="7">
                  <c:v>-1270640</c:v>
                </c:pt>
                <c:pt idx="8">
                  <c:v>-1285270</c:v>
                </c:pt>
                <c:pt idx="9">
                  <c:v>-1272860</c:v>
                </c:pt>
                <c:pt idx="10">
                  <c:v>-1310660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63-41AE-94A3-E54CC2AE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064416"/>
        <c:axId val="1067066496"/>
      </c:scatterChart>
      <c:valAx>
        <c:axId val="106706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066496"/>
        <c:crosses val="autoZero"/>
        <c:crossBetween val="midCat"/>
      </c:valAx>
      <c:valAx>
        <c:axId val="106706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06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14043028086069"/>
          <c:y val="0.38569028871391076"/>
          <c:w val="0.10129046369203849"/>
          <c:h val="0.21951373151526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建基面</a:t>
            </a:r>
            <a:r>
              <a:rPr lang="el-GR" altLang="zh-CN"/>
              <a:t>τ</a:t>
            </a:r>
            <a:r>
              <a:rPr lang="zh-CN" altLang="en-US"/>
              <a:t>分布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856344906747381"/>
          <c:y val="0.13445969728968674"/>
          <c:w val="0.86163153700494954"/>
          <c:h val="0.7838850133173691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切向力分布!$B$1</c:f>
              <c:strCache>
                <c:ptCount val="1"/>
                <c:pt idx="0">
                  <c:v>0m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切向力分布!$A$2:$A$12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切向力分布!$B$2:$B$12</c:f>
              <c:numCache>
                <c:formatCode>General</c:formatCode>
                <c:ptCount val="11"/>
                <c:pt idx="0">
                  <c:v>287389</c:v>
                </c:pt>
                <c:pt idx="1">
                  <c:v>400158</c:v>
                </c:pt>
                <c:pt idx="2">
                  <c:v>520488</c:v>
                </c:pt>
                <c:pt idx="3">
                  <c:v>550833</c:v>
                </c:pt>
                <c:pt idx="4">
                  <c:v>580614</c:v>
                </c:pt>
                <c:pt idx="5">
                  <c:v>597168</c:v>
                </c:pt>
                <c:pt idx="6">
                  <c:v>705817</c:v>
                </c:pt>
                <c:pt idx="7">
                  <c:v>767508</c:v>
                </c:pt>
                <c:pt idx="8">
                  <c:v>605029</c:v>
                </c:pt>
                <c:pt idx="9">
                  <c:v>629946</c:v>
                </c:pt>
                <c:pt idx="10">
                  <c:v>650341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A6-4B83-81DC-F0B3A62858A9}"/>
            </c:ext>
          </c:extLst>
        </c:ser>
        <c:ser>
          <c:idx val="1"/>
          <c:order val="1"/>
          <c:tx>
            <c:strRef>
              <c:f>切向力分布!$C$1</c:f>
              <c:strCache>
                <c:ptCount val="1"/>
                <c:pt idx="0">
                  <c:v>10m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切向力分布!$A$2:$A$12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切向力分布!$C$2:$C$12</c:f>
              <c:numCache>
                <c:formatCode>General</c:formatCode>
                <c:ptCount val="11"/>
                <c:pt idx="0">
                  <c:v>110114</c:v>
                </c:pt>
                <c:pt idx="1">
                  <c:v>250529</c:v>
                </c:pt>
                <c:pt idx="2">
                  <c:v>471938</c:v>
                </c:pt>
                <c:pt idx="3">
                  <c:v>574230</c:v>
                </c:pt>
                <c:pt idx="4">
                  <c:v>612402</c:v>
                </c:pt>
                <c:pt idx="5">
                  <c:v>637260</c:v>
                </c:pt>
                <c:pt idx="6">
                  <c:v>765598</c:v>
                </c:pt>
                <c:pt idx="7">
                  <c:v>833049</c:v>
                </c:pt>
                <c:pt idx="8">
                  <c:v>647089</c:v>
                </c:pt>
                <c:pt idx="9">
                  <c:v>677558</c:v>
                </c:pt>
                <c:pt idx="10">
                  <c:v>702165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A6-4B83-81DC-F0B3A62858A9}"/>
            </c:ext>
          </c:extLst>
        </c:ser>
        <c:ser>
          <c:idx val="2"/>
          <c:order val="2"/>
          <c:tx>
            <c:strRef>
              <c:f>切向力分布!$D$1</c:f>
              <c:strCache>
                <c:ptCount val="1"/>
                <c:pt idx="0">
                  <c:v>20m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切向力分布!$A$2:$A$12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切向力分布!$D$2:$D$12</c:f>
              <c:numCache>
                <c:formatCode>General</c:formatCode>
                <c:ptCount val="11"/>
                <c:pt idx="0">
                  <c:v>39833.4</c:v>
                </c:pt>
                <c:pt idx="1">
                  <c:v>113714</c:v>
                </c:pt>
                <c:pt idx="2">
                  <c:v>321919</c:v>
                </c:pt>
                <c:pt idx="3">
                  <c:v>545248</c:v>
                </c:pt>
                <c:pt idx="4">
                  <c:v>654469</c:v>
                </c:pt>
                <c:pt idx="5">
                  <c:v>686515</c:v>
                </c:pt>
                <c:pt idx="6">
                  <c:v>703554</c:v>
                </c:pt>
                <c:pt idx="7">
                  <c:v>738953</c:v>
                </c:pt>
                <c:pt idx="8">
                  <c:v>767648</c:v>
                </c:pt>
                <c:pt idx="9">
                  <c:v>843243</c:v>
                </c:pt>
                <c:pt idx="10">
                  <c:v>920334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A6-4B83-81DC-F0B3A62858A9}"/>
            </c:ext>
          </c:extLst>
        </c:ser>
        <c:ser>
          <c:idx val="3"/>
          <c:order val="3"/>
          <c:tx>
            <c:strRef>
              <c:f>切向力分布!$E$1</c:f>
              <c:strCache>
                <c:ptCount val="1"/>
                <c:pt idx="0">
                  <c:v>30m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切向力分布!$A$2:$A$12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切向力分布!$E$2:$E$12</c:f>
              <c:numCache>
                <c:formatCode>General</c:formatCode>
                <c:ptCount val="11"/>
                <c:pt idx="0">
                  <c:v>15249.8</c:v>
                </c:pt>
                <c:pt idx="1">
                  <c:v>47767.5</c:v>
                </c:pt>
                <c:pt idx="2">
                  <c:v>159908</c:v>
                </c:pt>
                <c:pt idx="3">
                  <c:v>391375</c:v>
                </c:pt>
                <c:pt idx="4">
                  <c:v>634063</c:v>
                </c:pt>
                <c:pt idx="5">
                  <c:v>743815</c:v>
                </c:pt>
                <c:pt idx="6">
                  <c:v>771735</c:v>
                </c:pt>
                <c:pt idx="7">
                  <c:v>818958</c:v>
                </c:pt>
                <c:pt idx="8">
                  <c:v>855604</c:v>
                </c:pt>
                <c:pt idx="9">
                  <c:v>948050</c:v>
                </c:pt>
                <c:pt idx="10" formatCode="0.00E+00">
                  <c:v>1042060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A6-4B83-81DC-F0B3A6285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746464"/>
        <c:axId val="1066752704"/>
      </c:scatterChart>
      <c:valAx>
        <c:axId val="106674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6752704"/>
        <c:crosses val="autoZero"/>
        <c:crossBetween val="midCat"/>
      </c:valAx>
      <c:valAx>
        <c:axId val="106675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674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14948932219124"/>
          <c:y val="0.21436030897404984"/>
          <c:w val="0.10236516357206013"/>
          <c:h val="0.237594059982206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377190</xdr:colOff>
      <xdr:row>4</xdr:row>
      <xdr:rowOff>7620</xdr:rowOff>
    </xdr:from>
    <xdr:to>
      <xdr:col>13</xdr:col>
      <xdr:colOff>30480</xdr:colOff>
      <xdr:row>24</xdr:row>
      <xdr:rowOff>144780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7</xdr:row>
      <xdr:rowOff>140970</xdr:rowOff>
    </xdr:from>
    <xdr:to>
      <xdr:col>6</xdr:col>
      <xdr:colOff>335280</xdr:colOff>
      <xdr:row>22</xdr:row>
      <xdr:rowOff>140970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845820</xdr:colOff>
      <xdr:row>8</xdr:row>
      <xdr:rowOff>41910</xdr:rowOff>
    </xdr:from>
    <xdr:to>
      <xdr:col>13</xdr:col>
      <xdr:colOff>22860</xdr:colOff>
      <xdr:row>27</xdr:row>
      <xdr:rowOff>129540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2</xdr:row>
      <xdr:rowOff>179070</xdr:rowOff>
    </xdr:from>
    <xdr:to>
      <xdr:col>12</xdr:col>
      <xdr:colOff>464820</xdr:colOff>
      <xdr:row>24</xdr:row>
      <xdr:rowOff>60960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1066800</xdr:colOff>
      <xdr:row>2</xdr:row>
      <xdr:rowOff>179070</xdr:rowOff>
    </xdr:from>
    <xdr:to>
      <xdr:col>14</xdr:col>
      <xdr:colOff>144780</xdr:colOff>
      <xdr:row>22</xdr:row>
      <xdr:rowOff>129540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workbookViewId="0">
      <selection activeCell="D15" sqref="D15"/>
    </sheetView>
  </sheetViews>
  <sheetFormatPr defaultColWidth="9" defaultRowHeight="14.4" x14ac:dyDescent="0.25"/>
  <cols>
    <col min="3" max="3" width="19.109375" customWidth="1"/>
    <col min="4" max="4" width="14.33203125" customWidth="1"/>
    <col min="5" max="5" width="13.109375" customWidth="1"/>
    <col min="6" max="6" width="18" customWidth="1"/>
    <col min="8" max="8" width="16.33203125" customWidth="1"/>
    <col min="10" max="10" width="20.5546875" customWidth="1"/>
    <col min="11" max="11" width="16.6640625" customWidth="1"/>
    <col min="12" max="12" width="18.109375" customWidth="1"/>
    <col min="13" max="13" width="21.109375" customWidth="1"/>
  </cols>
  <sheetData>
    <row r="1" spans="1:13" x14ac:dyDescent="0.25">
      <c r="A1" s="3" t="s">
        <v>8</v>
      </c>
      <c r="B1" s="5" t="s">
        <v>2</v>
      </c>
      <c r="C1" s="5" t="s">
        <v>0</v>
      </c>
      <c r="D1" s="5" t="s">
        <v>1</v>
      </c>
      <c r="E1" s="5" t="s">
        <v>4</v>
      </c>
      <c r="F1" s="5" t="s">
        <v>5</v>
      </c>
      <c r="H1" s="3" t="s">
        <v>7</v>
      </c>
      <c r="I1" s="5" t="s">
        <v>2</v>
      </c>
      <c r="J1" s="5" t="s">
        <v>0</v>
      </c>
      <c r="K1" s="5" t="s">
        <v>1</v>
      </c>
      <c r="L1" s="5" t="s">
        <v>4</v>
      </c>
      <c r="M1" s="5" t="s">
        <v>5</v>
      </c>
    </row>
    <row r="2" spans="1:13" x14ac:dyDescent="0.25">
      <c r="B2" t="s">
        <v>3</v>
      </c>
      <c r="C2" s="2">
        <v>-1038130</v>
      </c>
      <c r="D2" s="2">
        <v>-1344560</v>
      </c>
      <c r="E2">
        <v>5.5273599999999999E-2</v>
      </c>
      <c r="F2">
        <v>-4.5538599999999999E-2</v>
      </c>
      <c r="I2" t="s">
        <v>3</v>
      </c>
      <c r="J2" s="2">
        <v>-1040340</v>
      </c>
      <c r="K2" s="2">
        <v>-1344990</v>
      </c>
      <c r="L2">
        <v>5.6907399999999997E-2</v>
      </c>
      <c r="M2">
        <v>-4.54139E-2</v>
      </c>
    </row>
    <row r="3" spans="1:13" s="7" customFormat="1" x14ac:dyDescent="0.25">
      <c r="C3" s="8"/>
      <c r="D3" s="8"/>
      <c r="J3" s="8">
        <f>-(C2-J2)/C2*100</f>
        <v>0.21288277961334323</v>
      </c>
      <c r="K3" s="8">
        <f t="shared" ref="K3:M3" si="0">-(D2-K2)/D2*100</f>
        <v>3.1980722318081752E-2</v>
      </c>
      <c r="L3" s="8">
        <f t="shared" si="0"/>
        <v>2.9558414867133638</v>
      </c>
      <c r="M3" s="8">
        <f t="shared" si="0"/>
        <v>-0.27383362685721219</v>
      </c>
    </row>
    <row r="4" spans="1:13" x14ac:dyDescent="0.25">
      <c r="B4" s="4" t="s">
        <v>10</v>
      </c>
      <c r="C4" s="2">
        <v>-1053060</v>
      </c>
      <c r="D4" s="2">
        <v>-1242770</v>
      </c>
      <c r="E4">
        <v>4.6014899999999997E-2</v>
      </c>
      <c r="F4">
        <v>-4.5343599999999998E-2</v>
      </c>
      <c r="I4" s="4" t="s">
        <v>12</v>
      </c>
      <c r="J4" s="2">
        <v>-1051160</v>
      </c>
      <c r="K4" s="2">
        <v>-1244240</v>
      </c>
      <c r="L4">
        <v>4.7119399999999999E-2</v>
      </c>
      <c r="M4">
        <v>-4.5199900000000001E-2</v>
      </c>
    </row>
    <row r="5" spans="1:13" s="7" customFormat="1" x14ac:dyDescent="0.25">
      <c r="B5" s="9"/>
      <c r="C5" s="8"/>
      <c r="D5" s="8"/>
      <c r="I5" s="9"/>
      <c r="J5" s="8">
        <f>-(C4-J4)/C4*100</f>
        <v>-0.18042656638748031</v>
      </c>
      <c r="K5" s="8">
        <f t="shared" ref="K5:M5" si="1">-(D4-K4)/D4*100</f>
        <v>0.11828415555573436</v>
      </c>
      <c r="L5" s="8">
        <f t="shared" si="1"/>
        <v>2.4003094649776515</v>
      </c>
      <c r="M5" s="8">
        <f t="shared" si="1"/>
        <v>-0.31691352252577348</v>
      </c>
    </row>
    <row r="6" spans="1:13" x14ac:dyDescent="0.25">
      <c r="B6" s="4" t="s">
        <v>15</v>
      </c>
      <c r="C6" s="2">
        <v>-1061500</v>
      </c>
      <c r="D6" s="2">
        <v>-1172120</v>
      </c>
      <c r="E6">
        <v>3.9317699999999997E-2</v>
      </c>
      <c r="F6">
        <v>-4.5217300000000002E-2</v>
      </c>
      <c r="I6" s="4" t="s">
        <v>15</v>
      </c>
      <c r="J6" s="2">
        <v>-1062940</v>
      </c>
      <c r="K6" s="2">
        <v>-1172390</v>
      </c>
      <c r="L6">
        <v>4.0082300000000001E-2</v>
      </c>
      <c r="M6">
        <v>-4.5078500000000001E-2</v>
      </c>
    </row>
    <row r="7" spans="1:13" s="7" customFormat="1" x14ac:dyDescent="0.25">
      <c r="B7" s="9"/>
      <c r="C7" s="8"/>
      <c r="D7" s="8"/>
      <c r="I7" s="9"/>
      <c r="J7" s="8">
        <f>-(C6-J6)/C6*100</f>
        <v>0.13565708902496468</v>
      </c>
      <c r="K7" s="8">
        <f t="shared" ref="K7:M7" si="2">-(D6-K6)/D6*100</f>
        <v>2.3035184110841891E-2</v>
      </c>
      <c r="L7" s="8">
        <f t="shared" si="2"/>
        <v>1.9446712294971584</v>
      </c>
      <c r="M7" s="8">
        <f t="shared" si="2"/>
        <v>-0.30696215828897661</v>
      </c>
    </row>
    <row r="8" spans="1:13" x14ac:dyDescent="0.25">
      <c r="B8" s="4" t="s">
        <v>17</v>
      </c>
      <c r="C8" s="2">
        <v>-1053950</v>
      </c>
      <c r="D8" s="2">
        <v>-1136830</v>
      </c>
      <c r="E8">
        <v>3.4066199999999998E-2</v>
      </c>
      <c r="F8">
        <v>-4.5052799999999997E-2</v>
      </c>
      <c r="I8" s="4" t="s">
        <v>17</v>
      </c>
      <c r="J8" s="2">
        <v>-1062590</v>
      </c>
      <c r="K8" s="6">
        <v>-1147980</v>
      </c>
      <c r="L8">
        <v>3.4710900000000003E-2</v>
      </c>
      <c r="M8">
        <v>-4.4935000000000003E-2</v>
      </c>
    </row>
    <row r="9" spans="1:13" s="7" customFormat="1" x14ac:dyDescent="0.25">
      <c r="B9" s="9"/>
      <c r="C9" s="8"/>
      <c r="D9" s="8"/>
      <c r="I9" s="9"/>
      <c r="J9" s="8">
        <f>-(C8-J8)/C8*100</f>
        <v>0.8197732340243844</v>
      </c>
      <c r="K9" s="8">
        <f t="shared" ref="K9:M9" si="3">-(D8-K8)/D8*100</f>
        <v>0.98079748071391493</v>
      </c>
      <c r="L9" s="8">
        <f t="shared" si="3"/>
        <v>1.8924916779682062</v>
      </c>
      <c r="M9" s="8">
        <f t="shared" si="3"/>
        <v>-0.26147098515518308</v>
      </c>
    </row>
    <row r="10" spans="1:13" x14ac:dyDescent="0.25">
      <c r="B10" s="4" t="s">
        <v>18</v>
      </c>
      <c r="C10" s="2">
        <v>-1014620</v>
      </c>
      <c r="D10" s="2">
        <v>-1292850</v>
      </c>
      <c r="E10">
        <v>3.0247400000000001E-2</v>
      </c>
      <c r="F10">
        <v>-4.4964700000000003E-2</v>
      </c>
      <c r="I10" s="4" t="s">
        <v>19</v>
      </c>
      <c r="J10" s="2">
        <v>-1056990</v>
      </c>
      <c r="K10" s="2">
        <v>-1277740</v>
      </c>
      <c r="L10">
        <v>3.0567199999999999E-2</v>
      </c>
      <c r="M10">
        <v>-4.4744600000000002E-2</v>
      </c>
    </row>
    <row r="11" spans="1:13" s="7" customFormat="1" x14ac:dyDescent="0.25">
      <c r="B11" s="9"/>
      <c r="C11" s="8"/>
      <c r="D11" s="8"/>
      <c r="I11" s="9"/>
      <c r="J11" s="8">
        <f>-(C10-J10)/C10*100</f>
        <v>4.1759476454239026</v>
      </c>
      <c r="K11" s="8">
        <f t="shared" ref="K11:M11" si="4">-(D10-K10)/D10*100</f>
        <v>-1.1687357388714854</v>
      </c>
      <c r="L11" s="8">
        <f t="shared" si="4"/>
        <v>1.0572809563797172</v>
      </c>
      <c r="M11" s="8">
        <f t="shared" si="4"/>
        <v>-0.48949509281725628</v>
      </c>
    </row>
    <row r="12" spans="1:13" x14ac:dyDescent="0.25">
      <c r="B12" s="4" t="s">
        <v>20</v>
      </c>
      <c r="C12">
        <v>-704909</v>
      </c>
      <c r="D12" s="2">
        <v>-1342870</v>
      </c>
      <c r="E12">
        <v>2.7156799999999998E-2</v>
      </c>
      <c r="F12">
        <v>-4.4738600000000003E-2</v>
      </c>
      <c r="I12" s="4" t="s">
        <v>21</v>
      </c>
      <c r="J12">
        <v>-704909</v>
      </c>
      <c r="K12" s="2">
        <v>-1342870</v>
      </c>
      <c r="L12">
        <v>2.7156799999999998E-2</v>
      </c>
      <c r="M12">
        <v>-4.4738600000000003E-2</v>
      </c>
    </row>
    <row r="13" spans="1:13" s="7" customFormat="1" x14ac:dyDescent="0.25">
      <c r="J13" s="8">
        <f>(C12-J12)/C12*100</f>
        <v>0</v>
      </c>
      <c r="K13" s="8">
        <f t="shared" ref="K13" si="5">(D12-K12)/D12*100</f>
        <v>0</v>
      </c>
      <c r="L13" s="8">
        <f t="shared" ref="L13" si="6">(E12-L12)/E12*100</f>
        <v>0</v>
      </c>
      <c r="M13" s="8">
        <f t="shared" ref="M13" si="7">(F12-M12)/F12*100</f>
        <v>0</v>
      </c>
    </row>
    <row r="22" spans="4:4" x14ac:dyDescent="0.25">
      <c r="D22" s="1"/>
    </row>
    <row r="25" spans="4:4" x14ac:dyDescent="0.25">
      <c r="D25" s="1"/>
    </row>
    <row r="36" spans="4:4" x14ac:dyDescent="0.25">
      <c r="D36" s="1"/>
    </row>
    <row r="39" spans="4:4" x14ac:dyDescent="0.25">
      <c r="D39" s="1"/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D12" sqref="D12"/>
    </sheetView>
  </sheetViews>
  <sheetFormatPr defaultColWidth="9" defaultRowHeight="14.4" x14ac:dyDescent="0.25"/>
  <cols>
    <col min="2" max="2" width="15" customWidth="1"/>
    <col min="3" max="3" width="18.109375" customWidth="1"/>
    <col min="4" max="4" width="18.5546875" customWidth="1"/>
    <col min="5" max="5" width="14.5546875" customWidth="1"/>
    <col min="6" max="6" width="13.88671875" customWidth="1"/>
    <col min="9" max="9" width="11.6640625" customWidth="1"/>
    <col min="10" max="10" width="16.109375" customWidth="1"/>
    <col min="11" max="11" width="14.33203125" customWidth="1"/>
    <col min="12" max="12" width="13.88671875" customWidth="1"/>
    <col min="13" max="13" width="18.6640625" customWidth="1"/>
  </cols>
  <sheetData>
    <row r="1" spans="1:13" x14ac:dyDescent="0.25">
      <c r="A1" s="3" t="s">
        <v>8</v>
      </c>
      <c r="B1" s="5" t="s">
        <v>2</v>
      </c>
      <c r="C1" s="5" t="s">
        <v>0</v>
      </c>
      <c r="D1" s="5" t="s">
        <v>1</v>
      </c>
      <c r="E1" s="5" t="s">
        <v>4</v>
      </c>
      <c r="F1" s="5" t="s">
        <v>5</v>
      </c>
      <c r="H1" s="3" t="s">
        <v>9</v>
      </c>
      <c r="I1" s="5" t="s">
        <v>2</v>
      </c>
      <c r="J1" s="5" t="s">
        <v>0</v>
      </c>
      <c r="K1" s="5" t="s">
        <v>1</v>
      </c>
      <c r="L1" s="5" t="s">
        <v>4</v>
      </c>
      <c r="M1" s="5" t="s">
        <v>5</v>
      </c>
    </row>
    <row r="2" spans="1:13" x14ac:dyDescent="0.25">
      <c r="B2" t="s">
        <v>3</v>
      </c>
      <c r="C2">
        <v>-47514.8</v>
      </c>
      <c r="D2" s="2">
        <v>-2910510</v>
      </c>
      <c r="E2">
        <v>4.9611700000000002E-2</v>
      </c>
      <c r="F2">
        <v>-4.1750900000000001E-2</v>
      </c>
      <c r="I2" t="s">
        <v>6</v>
      </c>
      <c r="J2" s="2">
        <v>-61774.400000000001</v>
      </c>
      <c r="K2" s="2">
        <v>-3020750</v>
      </c>
      <c r="L2">
        <v>5.09422E-2</v>
      </c>
      <c r="M2">
        <v>-4.1791700000000001E-2</v>
      </c>
    </row>
    <row r="3" spans="1:13" s="7" customFormat="1" x14ac:dyDescent="0.25">
      <c r="D3" s="8"/>
      <c r="J3" s="8">
        <f>-(C2-J2)/C2*100</f>
        <v>30.010859774217714</v>
      </c>
      <c r="K3" s="8">
        <f t="shared" ref="K3:M3" si="0">-(D2-K2)/D2*100</f>
        <v>3.7876523358449203</v>
      </c>
      <c r="L3" s="8">
        <f t="shared" si="0"/>
        <v>2.6818270690179906</v>
      </c>
      <c r="M3" s="8">
        <f t="shared" si="0"/>
        <v>9.7722444306591133E-2</v>
      </c>
    </row>
    <row r="4" spans="1:13" x14ac:dyDescent="0.25">
      <c r="B4" s="4" t="s">
        <v>11</v>
      </c>
      <c r="C4">
        <v>19598.599999999999</v>
      </c>
      <c r="D4" s="2">
        <v>-2385010</v>
      </c>
      <c r="E4">
        <v>4.20303E-2</v>
      </c>
      <c r="F4">
        <v>-4.1438900000000001E-2</v>
      </c>
      <c r="I4" s="4" t="s">
        <v>13</v>
      </c>
      <c r="J4">
        <v>13206.8</v>
      </c>
      <c r="K4" s="2">
        <v>-2453120</v>
      </c>
      <c r="L4">
        <v>4.29509E-2</v>
      </c>
      <c r="M4">
        <v>-4.1493200000000001E-2</v>
      </c>
    </row>
    <row r="5" spans="1:13" s="7" customFormat="1" x14ac:dyDescent="0.25">
      <c r="B5" s="9"/>
      <c r="D5" s="8"/>
      <c r="I5" s="9"/>
      <c r="J5" s="8">
        <f>-(C4-J4)/C4*100</f>
        <v>-32.613554029369446</v>
      </c>
      <c r="K5" s="8">
        <f t="shared" ref="K5" si="1">-(D4-K4)/D4*100</f>
        <v>2.8557532253533529</v>
      </c>
      <c r="L5" s="8">
        <f t="shared" ref="L5" si="2">-(E4-L4)/E4*100</f>
        <v>2.1903245991582274</v>
      </c>
      <c r="M5" s="8">
        <f t="shared" ref="M5" si="3">-(F4-M4)/F4*100</f>
        <v>0.13103629681289847</v>
      </c>
    </row>
    <row r="6" spans="1:13" x14ac:dyDescent="0.25">
      <c r="B6" s="4" t="s">
        <v>16</v>
      </c>
      <c r="C6">
        <v>62129.7</v>
      </c>
      <c r="D6" s="2">
        <v>-2059210</v>
      </c>
      <c r="E6">
        <v>3.6420099999999997E-2</v>
      </c>
      <c r="F6">
        <v>-4.1253400000000003E-2</v>
      </c>
      <c r="I6" s="4" t="s">
        <v>14</v>
      </c>
      <c r="J6">
        <v>57655.5</v>
      </c>
      <c r="K6" s="2">
        <v>-2104260</v>
      </c>
      <c r="L6">
        <v>3.7071100000000003E-2</v>
      </c>
      <c r="M6">
        <v>-4.1272900000000001E-2</v>
      </c>
    </row>
    <row r="7" spans="1:13" s="7" customFormat="1" x14ac:dyDescent="0.25">
      <c r="B7" s="9"/>
      <c r="D7" s="8"/>
      <c r="I7" s="9"/>
      <c r="J7" s="8">
        <f>-(C6-J6)/C6*100</f>
        <v>-7.2013867763726482</v>
      </c>
      <c r="K7" s="8">
        <f t="shared" ref="K7" si="4">-(D6-K6)/D6*100</f>
        <v>2.1877321885577476</v>
      </c>
      <c r="L7" s="8">
        <f t="shared" ref="L7" si="5">-(E6-L6)/E6*100</f>
        <v>1.7874744989717375</v>
      </c>
      <c r="M7" s="8">
        <f t="shared" ref="M7" si="6">-(F6-M6)/F6*100</f>
        <v>4.726883117512419E-2</v>
      </c>
    </row>
    <row r="8" spans="1:13" x14ac:dyDescent="0.25">
      <c r="B8" s="4" t="s">
        <v>17</v>
      </c>
      <c r="C8">
        <v>84882.1</v>
      </c>
      <c r="D8" s="2">
        <v>-1839080</v>
      </c>
      <c r="E8">
        <v>3.24167E-2</v>
      </c>
      <c r="F8">
        <v>-4.1075300000000002E-2</v>
      </c>
      <c r="I8" s="4" t="s">
        <v>17</v>
      </c>
      <c r="J8">
        <v>83687.399999999994</v>
      </c>
      <c r="K8" s="2">
        <v>-1873560</v>
      </c>
      <c r="L8">
        <v>3.2895000000000001E-2</v>
      </c>
      <c r="M8">
        <v>-4.1117099999999997E-2</v>
      </c>
    </row>
    <row r="9" spans="1:13" s="7" customFormat="1" x14ac:dyDescent="0.25">
      <c r="B9" s="9"/>
      <c r="D9" s="8"/>
      <c r="I9" s="9"/>
      <c r="J9" s="8">
        <f>-(C8-J8)/C8*100</f>
        <v>-1.4074816716363185</v>
      </c>
      <c r="K9" s="8">
        <f t="shared" ref="K9" si="7">-(D8-K8)/D8*100</f>
        <v>1.8748504687126171</v>
      </c>
      <c r="L9" s="8">
        <f t="shared" ref="L9" si="8">-(E8-L8)/E8*100</f>
        <v>1.4754740612091946</v>
      </c>
      <c r="M9" s="8">
        <f t="shared" ref="M9" si="9">-(F8-M8)/F8*100</f>
        <v>0.10176432065010996</v>
      </c>
    </row>
    <row r="10" spans="1:13" x14ac:dyDescent="0.25">
      <c r="B10" s="4" t="s">
        <v>19</v>
      </c>
      <c r="C10">
        <v>101089</v>
      </c>
      <c r="D10" s="2">
        <v>-1691390</v>
      </c>
      <c r="E10">
        <v>2.9436400000000001E-2</v>
      </c>
      <c r="F10">
        <v>-4.0970899999999998E-2</v>
      </c>
      <c r="I10" s="4" t="s">
        <v>19</v>
      </c>
      <c r="J10">
        <v>99513.8</v>
      </c>
      <c r="K10" s="2">
        <v>-1713770</v>
      </c>
      <c r="L10">
        <v>2.9775099999999999E-2</v>
      </c>
      <c r="M10">
        <v>-4.0982900000000003E-2</v>
      </c>
    </row>
    <row r="11" spans="1:13" s="7" customFormat="1" x14ac:dyDescent="0.25">
      <c r="B11" s="9"/>
      <c r="D11" s="8"/>
      <c r="I11" s="9"/>
      <c r="J11" s="8">
        <f>-(C10-J10)/C10*100</f>
        <v>-1.5582308658706654</v>
      </c>
      <c r="K11" s="8">
        <f t="shared" ref="K11" si="10">-(D10-K10)/D10*100</f>
        <v>1.3231720655791983</v>
      </c>
      <c r="L11" s="8">
        <f t="shared" ref="L11" si="11">-(E10-L10)/E10*100</f>
        <v>1.1506162438341554</v>
      </c>
      <c r="M11" s="8">
        <f t="shared" ref="M11" si="12">-(F10-M10)/F10*100</f>
        <v>2.9289080786619438E-2</v>
      </c>
    </row>
    <row r="12" spans="1:13" x14ac:dyDescent="0.25">
      <c r="B12" s="4" t="s">
        <v>22</v>
      </c>
      <c r="C12">
        <v>108512</v>
      </c>
      <c r="D12" s="2">
        <v>-1594380</v>
      </c>
      <c r="E12">
        <v>2.7517300000000001E-2</v>
      </c>
      <c r="F12">
        <v>-4.0878699999999997E-2</v>
      </c>
      <c r="I12" s="4" t="s">
        <v>22</v>
      </c>
      <c r="J12">
        <v>108512</v>
      </c>
      <c r="K12" s="2">
        <v>-1594380</v>
      </c>
      <c r="L12">
        <v>2.7517300000000001E-2</v>
      </c>
      <c r="M12">
        <v>-4.0878699999999997E-2</v>
      </c>
    </row>
    <row r="13" spans="1:13" s="7" customFormat="1" x14ac:dyDescent="0.25">
      <c r="J13" s="8">
        <f>-(C12-J12)/C12*100</f>
        <v>0</v>
      </c>
      <c r="K13" s="8">
        <f t="shared" ref="K13" si="13">-(D12-K12)/D12*100</f>
        <v>0</v>
      </c>
      <c r="L13" s="8">
        <f t="shared" ref="L13" si="14">-(E12-L12)/E12*100</f>
        <v>0</v>
      </c>
      <c r="M13" s="8">
        <f t="shared" ref="M13" si="15">-(F12-M12)/F12*100</f>
        <v>0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"/>
  <sheetViews>
    <sheetView workbookViewId="0">
      <selection activeCell="B20" sqref="B20"/>
    </sheetView>
  </sheetViews>
  <sheetFormatPr defaultRowHeight="14.4" x14ac:dyDescent="0.25"/>
  <cols>
    <col min="2" max="2" width="13.44140625" customWidth="1"/>
    <col min="3" max="3" width="13.77734375" customWidth="1"/>
    <col min="4" max="4" width="14.33203125" customWidth="1"/>
  </cols>
  <sheetData>
    <row r="1" spans="2:5" x14ac:dyDescent="0.25">
      <c r="B1" s="5" t="s">
        <v>2</v>
      </c>
      <c r="C1" s="5" t="s">
        <v>4</v>
      </c>
      <c r="D1" s="5" t="s">
        <v>5</v>
      </c>
      <c r="E1" s="5" t="s">
        <v>23</v>
      </c>
    </row>
    <row r="2" spans="2:5" x14ac:dyDescent="0.25">
      <c r="B2">
        <v>50</v>
      </c>
      <c r="C2">
        <v>6.51616E-2</v>
      </c>
      <c r="D2">
        <v>-3.8416100000000002E-2</v>
      </c>
      <c r="E2">
        <v>7.5642699999999993E-2</v>
      </c>
    </row>
    <row r="3" spans="2:5" x14ac:dyDescent="0.25">
      <c r="B3">
        <v>40</v>
      </c>
      <c r="C3">
        <v>5.7015700000000002E-2</v>
      </c>
      <c r="D3">
        <v>-3.8115000000000003E-2</v>
      </c>
      <c r="E3">
        <v>6.8582400000000002E-2</v>
      </c>
    </row>
    <row r="4" spans="2:5" x14ac:dyDescent="0.25">
      <c r="B4">
        <v>30</v>
      </c>
      <c r="C4">
        <v>5.1363899999999997E-2</v>
      </c>
      <c r="D4">
        <v>-3.7897800000000002E-2</v>
      </c>
      <c r="E4">
        <v>6.3831799999999994E-2</v>
      </c>
    </row>
    <row r="5" spans="2:5" x14ac:dyDescent="0.25">
      <c r="B5">
        <v>20</v>
      </c>
      <c r="C5">
        <v>4.7257399999999998E-2</v>
      </c>
      <c r="D5">
        <v>-3.7805100000000001E-2</v>
      </c>
      <c r="E5">
        <v>6.0518500000000003E-2</v>
      </c>
    </row>
    <row r="6" spans="2:5" x14ac:dyDescent="0.25">
      <c r="B6">
        <v>10</v>
      </c>
      <c r="C6">
        <v>4.4063900000000003E-2</v>
      </c>
      <c r="D6">
        <v>-3.7843599999999998E-2</v>
      </c>
      <c r="E6">
        <v>5.8084200000000002E-2</v>
      </c>
    </row>
    <row r="7" spans="2:5" x14ac:dyDescent="0.25">
      <c r="B7">
        <v>0</v>
      </c>
      <c r="C7">
        <v>4.14454E-2</v>
      </c>
      <c r="D7">
        <v>-3.8071399999999998E-2</v>
      </c>
      <c r="E7">
        <v>5.6277399999999998E-2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opLeftCell="B1" workbookViewId="0">
      <selection activeCell="C10" sqref="C10"/>
    </sheetView>
  </sheetViews>
  <sheetFormatPr defaultRowHeight="14.4" x14ac:dyDescent="0.25"/>
  <cols>
    <col min="1" max="1" width="18" customWidth="1"/>
    <col min="2" max="2" width="23.6640625" customWidth="1"/>
    <col min="3" max="3" width="22.33203125" customWidth="1"/>
    <col min="4" max="4" width="18.77734375" customWidth="1"/>
    <col min="5" max="5" width="25.88671875" customWidth="1"/>
    <col min="6" max="6" width="25" customWidth="1"/>
    <col min="7" max="7" width="29.6640625" customWidth="1"/>
  </cols>
  <sheetData>
    <row r="1" spans="1:7" x14ac:dyDescent="0.25">
      <c r="A1" s="5" t="s">
        <v>31</v>
      </c>
      <c r="B1" s="5">
        <v>0</v>
      </c>
      <c r="C1" s="5">
        <v>10</v>
      </c>
      <c r="D1" s="5">
        <v>20</v>
      </c>
      <c r="E1" s="5">
        <v>30</v>
      </c>
      <c r="F1" s="5">
        <v>40</v>
      </c>
      <c r="G1" s="5">
        <v>50</v>
      </c>
    </row>
    <row r="2" spans="1:7" x14ac:dyDescent="0.25">
      <c r="A2" s="4" t="s">
        <v>34</v>
      </c>
      <c r="B2" s="2">
        <v>65860000</v>
      </c>
      <c r="C2" s="2">
        <v>65220000</v>
      </c>
      <c r="D2" s="2">
        <v>61320000</v>
      </c>
      <c r="E2" s="2">
        <v>55500000</v>
      </c>
      <c r="F2" s="2">
        <v>56030000</v>
      </c>
      <c r="G2" s="2">
        <v>57360000</v>
      </c>
    </row>
    <row r="3" spans="1:7" x14ac:dyDescent="0.25">
      <c r="A3" s="4" t="s">
        <v>35</v>
      </c>
      <c r="B3" s="2">
        <v>-375800000</v>
      </c>
      <c r="C3" s="2">
        <v>-293000000</v>
      </c>
      <c r="D3" s="2">
        <v>-272500000</v>
      </c>
      <c r="E3" s="2">
        <v>-258800000</v>
      </c>
      <c r="F3" s="2">
        <v>-289000000</v>
      </c>
      <c r="G3" s="2">
        <v>-466200000</v>
      </c>
    </row>
    <row r="4" spans="1:7" x14ac:dyDescent="0.25">
      <c r="A4" s="4" t="s">
        <v>36</v>
      </c>
      <c r="B4" s="2">
        <v>22160000000</v>
      </c>
      <c r="C4" s="2">
        <v>16610000000</v>
      </c>
      <c r="D4" s="2">
        <v>15550000000</v>
      </c>
      <c r="E4" s="2">
        <v>15030000000</v>
      </c>
      <c r="F4" s="2">
        <v>17130000000</v>
      </c>
      <c r="G4" s="2">
        <v>28750000000</v>
      </c>
    </row>
    <row r="5" spans="1:7" x14ac:dyDescent="0.25">
      <c r="A5" s="4" t="s">
        <v>37</v>
      </c>
      <c r="B5" s="11">
        <f>(1.1*(-B3)+0.8*1000000*100)/B2</f>
        <v>7.4913452778621323</v>
      </c>
      <c r="C5" s="11">
        <f t="shared" ref="C5:G5" si="0">(1.1*(-C3)+0.8*1000000*100)/C2</f>
        <v>6.1683532658693654</v>
      </c>
      <c r="D5" s="11">
        <f t="shared" si="0"/>
        <v>6.1929223744292239</v>
      </c>
      <c r="E5" s="11">
        <f t="shared" si="0"/>
        <v>6.5708108108108112</v>
      </c>
      <c r="F5" s="11">
        <f t="shared" si="0"/>
        <v>7.1015527396037834</v>
      </c>
      <c r="G5" s="11">
        <f t="shared" si="0"/>
        <v>10.335076708507671</v>
      </c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7" sqref="E7"/>
    </sheetView>
  </sheetViews>
  <sheetFormatPr defaultRowHeight="14.4" x14ac:dyDescent="0.25"/>
  <cols>
    <col min="3" max="3" width="17.21875" customWidth="1"/>
    <col min="4" max="4" width="13.6640625" customWidth="1"/>
    <col min="5" max="5" width="17.44140625" customWidth="1"/>
  </cols>
  <sheetData>
    <row r="1" spans="1:5" x14ac:dyDescent="0.25">
      <c r="A1" s="5" t="s">
        <v>31</v>
      </c>
      <c r="B1" s="5" t="s">
        <v>20</v>
      </c>
      <c r="C1" s="5" t="s">
        <v>32</v>
      </c>
      <c r="D1" s="5" t="s">
        <v>33</v>
      </c>
      <c r="E1" s="5" t="s">
        <v>30</v>
      </c>
    </row>
    <row r="2" spans="1:5" x14ac:dyDescent="0.25">
      <c r="A2">
        <v>0</v>
      </c>
      <c r="B2">
        <v>-885482</v>
      </c>
      <c r="C2" s="2">
        <v>-1159760</v>
      </c>
      <c r="D2" s="2">
        <v>-1089930</v>
      </c>
      <c r="E2" s="2">
        <v>-1065110</v>
      </c>
    </row>
    <row r="3" spans="1:5" x14ac:dyDescent="0.25">
      <c r="A3">
        <v>10</v>
      </c>
      <c r="B3">
        <v>-740986</v>
      </c>
      <c r="C3" s="2">
        <v>-1131190</v>
      </c>
      <c r="D3" s="2">
        <v>-1211920</v>
      </c>
      <c r="E3" s="2">
        <v>-1116690</v>
      </c>
    </row>
    <row r="4" spans="1:5" x14ac:dyDescent="0.25">
      <c r="A4">
        <v>20</v>
      </c>
      <c r="B4">
        <v>-510852</v>
      </c>
      <c r="C4">
        <v>-912661</v>
      </c>
      <c r="D4" s="2">
        <v>-1333070</v>
      </c>
      <c r="E4" s="2">
        <v>-1346600</v>
      </c>
    </row>
    <row r="5" spans="1:5" x14ac:dyDescent="0.25">
      <c r="A5">
        <v>30</v>
      </c>
      <c r="B5">
        <v>-370001</v>
      </c>
      <c r="C5">
        <v>-623851</v>
      </c>
      <c r="D5" s="2">
        <v>-1102480</v>
      </c>
      <c r="E5" s="2">
        <v>-1542400</v>
      </c>
    </row>
    <row r="6" spans="1:5" x14ac:dyDescent="0.25">
      <c r="A6">
        <v>40</v>
      </c>
      <c r="B6">
        <v>-270686</v>
      </c>
      <c r="C6">
        <v>-457814</v>
      </c>
      <c r="D6">
        <v>-759549</v>
      </c>
      <c r="E6" s="2">
        <v>-1297740</v>
      </c>
    </row>
    <row r="7" spans="1:5" x14ac:dyDescent="0.25">
      <c r="A7">
        <v>50</v>
      </c>
      <c r="B7">
        <v>-192343</v>
      </c>
      <c r="C7">
        <v>-340948</v>
      </c>
      <c r="D7">
        <v>-570341</v>
      </c>
      <c r="E7">
        <v>-913151</v>
      </c>
    </row>
    <row r="8" spans="1:5" x14ac:dyDescent="0.25">
      <c r="A8">
        <v>60</v>
      </c>
      <c r="B8">
        <v>-143592</v>
      </c>
      <c r="C8">
        <v>-226064</v>
      </c>
      <c r="D8">
        <v>-434956</v>
      </c>
      <c r="E8">
        <v>-709714</v>
      </c>
    </row>
    <row r="9" spans="1:5" x14ac:dyDescent="0.25">
      <c r="A9">
        <v>70</v>
      </c>
      <c r="B9">
        <v>-374299</v>
      </c>
      <c r="C9">
        <v>-449318</v>
      </c>
      <c r="D9">
        <v>-314185</v>
      </c>
      <c r="E9">
        <v>-559919</v>
      </c>
    </row>
    <row r="10" spans="1:5" x14ac:dyDescent="0.25">
      <c r="A10">
        <v>80</v>
      </c>
      <c r="B10">
        <v>-117347</v>
      </c>
      <c r="C10">
        <v>-242984</v>
      </c>
      <c r="D10">
        <v>-197994</v>
      </c>
      <c r="E10">
        <v>-426927</v>
      </c>
    </row>
    <row r="11" spans="1:5" x14ac:dyDescent="0.25">
      <c r="A11">
        <v>90</v>
      </c>
      <c r="B11">
        <v>-29812.6</v>
      </c>
      <c r="C11">
        <v>-141228</v>
      </c>
      <c r="D11">
        <v>-352719</v>
      </c>
      <c r="E11">
        <v>-549351</v>
      </c>
    </row>
    <row r="12" spans="1:5" x14ac:dyDescent="0.25">
      <c r="A12">
        <v>100</v>
      </c>
      <c r="B12">
        <v>52039.9</v>
      </c>
      <c r="C12">
        <v>-45286.1</v>
      </c>
      <c r="D12">
        <v>-562232</v>
      </c>
      <c r="E12">
        <v>-735942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30" sqref="D30"/>
    </sheetView>
  </sheetViews>
  <sheetFormatPr defaultRowHeight="14.4" x14ac:dyDescent="0.25"/>
  <cols>
    <col min="2" max="2" width="17.33203125" customWidth="1"/>
    <col min="3" max="3" width="18" customWidth="1"/>
    <col min="4" max="4" width="17.44140625" customWidth="1"/>
    <col min="5" max="5" width="18.21875" customWidth="1"/>
  </cols>
  <sheetData>
    <row r="1" spans="1:5" x14ac:dyDescent="0.25">
      <c r="A1" s="5" t="s">
        <v>31</v>
      </c>
      <c r="B1" s="5" t="s">
        <v>20</v>
      </c>
      <c r="C1" s="5" t="s">
        <v>32</v>
      </c>
      <c r="D1" s="5" t="s">
        <v>33</v>
      </c>
      <c r="E1" s="5" t="s">
        <v>30</v>
      </c>
    </row>
    <row r="2" spans="1:5" x14ac:dyDescent="0.25">
      <c r="A2">
        <v>0</v>
      </c>
      <c r="B2" s="11">
        <v>-1162300</v>
      </c>
      <c r="C2" s="11">
        <v>-1174960</v>
      </c>
      <c r="D2" s="11">
        <v>-1120640</v>
      </c>
      <c r="E2" s="11">
        <v>-1170230</v>
      </c>
    </row>
    <row r="3" spans="1:5" x14ac:dyDescent="0.25">
      <c r="A3">
        <v>10</v>
      </c>
      <c r="B3" s="11">
        <v>-1209740</v>
      </c>
      <c r="C3" s="11">
        <v>-1242740</v>
      </c>
      <c r="D3" s="11">
        <v>-1120640</v>
      </c>
      <c r="E3" s="11">
        <v>-1196130</v>
      </c>
    </row>
    <row r="4" spans="1:5" x14ac:dyDescent="0.25">
      <c r="A4">
        <v>20</v>
      </c>
      <c r="B4" s="11">
        <v>-1263000</v>
      </c>
      <c r="C4" s="11">
        <v>-1277150</v>
      </c>
      <c r="D4" s="11">
        <v>-1347400</v>
      </c>
      <c r="E4" s="11">
        <v>-1299180</v>
      </c>
    </row>
    <row r="5" spans="1:5" x14ac:dyDescent="0.25">
      <c r="A5">
        <v>30</v>
      </c>
      <c r="B5" s="11">
        <v>-1291180</v>
      </c>
      <c r="C5" s="11">
        <v>-1265940</v>
      </c>
      <c r="D5" s="11">
        <v>-1314180</v>
      </c>
      <c r="E5" s="11">
        <v>-1387050</v>
      </c>
    </row>
    <row r="6" spans="1:5" x14ac:dyDescent="0.25">
      <c r="A6">
        <v>40</v>
      </c>
      <c r="B6" s="11">
        <v>-1312860</v>
      </c>
      <c r="C6" s="11">
        <v>-1289850</v>
      </c>
      <c r="D6" s="11">
        <v>-1263930</v>
      </c>
      <c r="E6" s="11">
        <v>-1313120</v>
      </c>
    </row>
    <row r="7" spans="1:5" x14ac:dyDescent="0.25">
      <c r="A7">
        <v>50</v>
      </c>
      <c r="B7" s="11">
        <v>-1306670</v>
      </c>
      <c r="C7" s="11">
        <v>-1283880</v>
      </c>
      <c r="D7" s="11">
        <v>-1257170</v>
      </c>
      <c r="E7" s="11">
        <v>-1222490</v>
      </c>
    </row>
    <row r="8" spans="1:5" x14ac:dyDescent="0.25">
      <c r="A8">
        <v>60</v>
      </c>
      <c r="B8" s="11">
        <v>-1189130</v>
      </c>
      <c r="C8" s="11">
        <v>-1218120</v>
      </c>
      <c r="D8" s="11">
        <v>-1251590</v>
      </c>
      <c r="E8" s="11">
        <v>-1211150</v>
      </c>
    </row>
    <row r="9" spans="1:5" x14ac:dyDescent="0.25">
      <c r="A9">
        <v>70</v>
      </c>
      <c r="B9" s="11">
        <v>-1111570</v>
      </c>
      <c r="C9" s="11">
        <v>-1164940</v>
      </c>
      <c r="D9" s="11">
        <v>-1307870</v>
      </c>
      <c r="E9" s="11">
        <v>-1270640</v>
      </c>
    </row>
    <row r="10" spans="1:5" x14ac:dyDescent="0.25">
      <c r="A10">
        <v>80</v>
      </c>
      <c r="B10" s="11">
        <v>-1303900</v>
      </c>
      <c r="C10" s="11">
        <v>-1283890</v>
      </c>
      <c r="D10" s="11">
        <v>-1308700</v>
      </c>
      <c r="E10" s="11">
        <v>-1285270</v>
      </c>
    </row>
    <row r="11" spans="1:5" x14ac:dyDescent="0.25">
      <c r="A11">
        <v>90</v>
      </c>
      <c r="B11" s="11">
        <v>-1343530</v>
      </c>
      <c r="C11" s="11">
        <v>-1332980</v>
      </c>
      <c r="D11" s="11">
        <v>-1244230</v>
      </c>
      <c r="E11" s="11">
        <v>-1272860</v>
      </c>
    </row>
    <row r="12" spans="1:5" x14ac:dyDescent="0.25">
      <c r="A12">
        <v>100</v>
      </c>
      <c r="B12" s="11">
        <v>-1323550</v>
      </c>
      <c r="C12" s="11">
        <v>-1322820</v>
      </c>
      <c r="D12" s="11">
        <v>-1227640</v>
      </c>
      <c r="E12" s="11">
        <v>-1310660</v>
      </c>
    </row>
  </sheetData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2" sqref="D12"/>
    </sheetView>
  </sheetViews>
  <sheetFormatPr defaultRowHeight="14.4" x14ac:dyDescent="0.25"/>
  <cols>
    <col min="2" max="2" width="17" customWidth="1"/>
    <col min="3" max="3" width="16.33203125" customWidth="1"/>
    <col min="4" max="4" width="15.44140625" customWidth="1"/>
    <col min="5" max="5" width="17.21875" customWidth="1"/>
  </cols>
  <sheetData>
    <row r="1" spans="1:5" x14ac:dyDescent="0.25">
      <c r="A1" s="5" t="s">
        <v>31</v>
      </c>
      <c r="B1" s="5" t="s">
        <v>20</v>
      </c>
      <c r="C1" s="5" t="s">
        <v>32</v>
      </c>
      <c r="D1" s="5" t="s">
        <v>33</v>
      </c>
      <c r="E1" s="5" t="s">
        <v>30</v>
      </c>
    </row>
    <row r="2" spans="1:5" x14ac:dyDescent="0.25">
      <c r="A2">
        <v>0</v>
      </c>
      <c r="B2">
        <v>287389</v>
      </c>
      <c r="C2">
        <v>110114</v>
      </c>
      <c r="D2">
        <v>39833.4</v>
      </c>
      <c r="E2">
        <v>15249.8</v>
      </c>
    </row>
    <row r="3" spans="1:5" x14ac:dyDescent="0.25">
      <c r="A3">
        <v>10</v>
      </c>
      <c r="B3">
        <v>400158</v>
      </c>
      <c r="C3">
        <v>250529</v>
      </c>
      <c r="D3">
        <v>113714</v>
      </c>
      <c r="E3">
        <v>47767.5</v>
      </c>
    </row>
    <row r="4" spans="1:5" x14ac:dyDescent="0.25">
      <c r="A4">
        <v>20</v>
      </c>
      <c r="B4">
        <v>520488</v>
      </c>
      <c r="C4">
        <v>471938</v>
      </c>
      <c r="D4">
        <v>321919</v>
      </c>
      <c r="E4">
        <v>159908</v>
      </c>
    </row>
    <row r="5" spans="1:5" x14ac:dyDescent="0.25">
      <c r="A5">
        <v>30</v>
      </c>
      <c r="B5">
        <v>550833</v>
      </c>
      <c r="C5">
        <v>574230</v>
      </c>
      <c r="D5">
        <v>545248</v>
      </c>
      <c r="E5">
        <v>391375</v>
      </c>
    </row>
    <row r="6" spans="1:5" x14ac:dyDescent="0.25">
      <c r="A6">
        <v>40</v>
      </c>
      <c r="B6">
        <v>580614</v>
      </c>
      <c r="C6">
        <v>612402</v>
      </c>
      <c r="D6">
        <v>654469</v>
      </c>
      <c r="E6">
        <v>634063</v>
      </c>
    </row>
    <row r="7" spans="1:5" x14ac:dyDescent="0.25">
      <c r="A7">
        <v>50</v>
      </c>
      <c r="B7">
        <v>597168</v>
      </c>
      <c r="C7">
        <v>637260</v>
      </c>
      <c r="D7">
        <v>686515</v>
      </c>
      <c r="E7">
        <v>743815</v>
      </c>
    </row>
    <row r="8" spans="1:5" x14ac:dyDescent="0.25">
      <c r="A8">
        <v>60</v>
      </c>
      <c r="B8">
        <v>705817</v>
      </c>
      <c r="C8">
        <v>765598</v>
      </c>
      <c r="D8">
        <v>703554</v>
      </c>
      <c r="E8">
        <v>771735</v>
      </c>
    </row>
    <row r="9" spans="1:5" x14ac:dyDescent="0.25">
      <c r="A9">
        <v>70</v>
      </c>
      <c r="B9">
        <v>767508</v>
      </c>
      <c r="C9">
        <v>833049</v>
      </c>
      <c r="D9">
        <v>738953</v>
      </c>
      <c r="E9">
        <v>818958</v>
      </c>
    </row>
    <row r="10" spans="1:5" x14ac:dyDescent="0.25">
      <c r="A10">
        <v>80</v>
      </c>
      <c r="B10">
        <v>605029</v>
      </c>
      <c r="C10">
        <v>647089</v>
      </c>
      <c r="D10">
        <v>767648</v>
      </c>
      <c r="E10">
        <v>855604</v>
      </c>
    </row>
    <row r="11" spans="1:5" x14ac:dyDescent="0.25">
      <c r="A11">
        <v>90</v>
      </c>
      <c r="B11">
        <v>629946</v>
      </c>
      <c r="C11">
        <v>677558</v>
      </c>
      <c r="D11">
        <v>843243</v>
      </c>
      <c r="E11">
        <v>948050</v>
      </c>
    </row>
    <row r="12" spans="1:5" x14ac:dyDescent="0.25">
      <c r="A12">
        <v>100</v>
      </c>
      <c r="B12">
        <v>650341</v>
      </c>
      <c r="C12">
        <v>702165</v>
      </c>
      <c r="D12">
        <v>920334</v>
      </c>
      <c r="E12" s="2">
        <v>1042060</v>
      </c>
    </row>
  </sheetData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opLeftCell="J1" workbookViewId="0">
      <selection activeCell="W2" sqref="W2:W13"/>
    </sheetView>
  </sheetViews>
  <sheetFormatPr defaultRowHeight="14.4" x14ac:dyDescent="0.25"/>
  <cols>
    <col min="4" max="4" width="18.33203125" customWidth="1"/>
    <col min="8" max="8" width="17.88671875" customWidth="1"/>
    <col min="9" max="9" width="15.77734375" customWidth="1"/>
    <col min="10" max="10" width="13.77734375" customWidth="1"/>
    <col min="11" max="11" width="19" customWidth="1"/>
    <col min="14" max="14" width="11.5546875" customWidth="1"/>
    <col min="15" max="15" width="12.88671875" customWidth="1"/>
    <col min="16" max="16" width="14.77734375" customWidth="1"/>
    <col min="17" max="17" width="17.33203125" customWidth="1"/>
    <col min="21" max="21" width="22.6640625" customWidth="1"/>
    <col min="22" max="22" width="19.33203125" customWidth="1"/>
    <col min="23" max="23" width="21.21875" customWidth="1"/>
  </cols>
  <sheetData>
    <row r="1" spans="1:23" x14ac:dyDescent="0.25">
      <c r="A1" s="10" t="s">
        <v>28</v>
      </c>
      <c r="B1" s="5" t="s">
        <v>24</v>
      </c>
      <c r="C1" s="5" t="s">
        <v>25</v>
      </c>
      <c r="D1" s="5" t="s">
        <v>26</v>
      </c>
      <c r="E1" s="5" t="s">
        <v>27</v>
      </c>
      <c r="G1" s="10" t="s">
        <v>18</v>
      </c>
      <c r="H1" s="5" t="s">
        <v>24</v>
      </c>
      <c r="I1" s="5" t="s">
        <v>25</v>
      </c>
      <c r="J1" s="5" t="s">
        <v>26</v>
      </c>
      <c r="K1" s="5" t="s">
        <v>27</v>
      </c>
      <c r="M1" s="10" t="s">
        <v>29</v>
      </c>
      <c r="N1" s="5" t="s">
        <v>24</v>
      </c>
      <c r="O1" s="5" t="s">
        <v>25</v>
      </c>
      <c r="P1" s="5" t="s">
        <v>26</v>
      </c>
      <c r="Q1" s="5" t="s">
        <v>27</v>
      </c>
      <c r="S1" s="10" t="s">
        <v>30</v>
      </c>
      <c r="T1" s="5" t="s">
        <v>24</v>
      </c>
      <c r="U1" s="5" t="s">
        <v>25</v>
      </c>
      <c r="V1" s="5" t="s">
        <v>26</v>
      </c>
      <c r="W1" s="5" t="s">
        <v>27</v>
      </c>
    </row>
    <row r="2" spans="1:23" x14ac:dyDescent="0.25">
      <c r="B2">
        <v>0</v>
      </c>
      <c r="C2">
        <v>-885482</v>
      </c>
      <c r="D2" s="2">
        <v>-1162300</v>
      </c>
      <c r="E2">
        <v>287389</v>
      </c>
      <c r="H2">
        <v>0</v>
      </c>
      <c r="I2" s="2">
        <v>-1159760</v>
      </c>
      <c r="J2" s="2">
        <v>-1174960</v>
      </c>
      <c r="K2">
        <v>110114</v>
      </c>
      <c r="N2">
        <v>0</v>
      </c>
      <c r="O2" s="2">
        <v>-1089930</v>
      </c>
      <c r="P2" s="2">
        <v>-1120640</v>
      </c>
      <c r="Q2">
        <v>39833.4</v>
      </c>
      <c r="T2">
        <v>0</v>
      </c>
      <c r="U2" s="2">
        <v>-1065110</v>
      </c>
      <c r="V2" s="2">
        <v>-1170230</v>
      </c>
      <c r="W2">
        <v>15249.8</v>
      </c>
    </row>
    <row r="3" spans="1:23" x14ac:dyDescent="0.25">
      <c r="B3">
        <v>10</v>
      </c>
      <c r="C3">
        <v>-740986</v>
      </c>
      <c r="D3" s="2">
        <v>-1209740</v>
      </c>
      <c r="E3">
        <v>400158</v>
      </c>
      <c r="H3">
        <v>10</v>
      </c>
      <c r="I3" s="2">
        <v>-1131190</v>
      </c>
      <c r="J3" s="2">
        <v>-1242740</v>
      </c>
      <c r="K3">
        <v>250529</v>
      </c>
      <c r="N3">
        <v>10</v>
      </c>
      <c r="O3" s="2">
        <v>-1211920</v>
      </c>
      <c r="P3" s="2">
        <v>-1120640</v>
      </c>
      <c r="Q3">
        <v>113714</v>
      </c>
      <c r="T3">
        <v>10</v>
      </c>
      <c r="U3" s="2">
        <v>-1116690</v>
      </c>
      <c r="V3" s="2">
        <v>-1196130</v>
      </c>
      <c r="W3">
        <v>47767.5</v>
      </c>
    </row>
    <row r="4" spans="1:23" x14ac:dyDescent="0.25">
      <c r="B4">
        <v>20</v>
      </c>
      <c r="C4">
        <v>-510852</v>
      </c>
      <c r="D4" s="2">
        <v>-1263000</v>
      </c>
      <c r="E4">
        <v>520488</v>
      </c>
      <c r="H4">
        <v>20</v>
      </c>
      <c r="I4">
        <v>-912661</v>
      </c>
      <c r="J4" s="2">
        <v>-1277150</v>
      </c>
      <c r="K4">
        <v>471938</v>
      </c>
      <c r="N4">
        <v>20</v>
      </c>
      <c r="O4" s="2">
        <v>-1333070</v>
      </c>
      <c r="P4" s="2">
        <v>-1347400</v>
      </c>
      <c r="Q4">
        <v>321919</v>
      </c>
      <c r="T4">
        <v>20</v>
      </c>
      <c r="U4" s="2">
        <v>-1346600</v>
      </c>
      <c r="V4" s="2">
        <v>-1299180</v>
      </c>
      <c r="W4">
        <v>159908</v>
      </c>
    </row>
    <row r="5" spans="1:23" x14ac:dyDescent="0.25">
      <c r="B5">
        <v>30</v>
      </c>
      <c r="C5">
        <v>-370001</v>
      </c>
      <c r="D5" s="2">
        <v>-1291180</v>
      </c>
      <c r="E5">
        <v>550833</v>
      </c>
      <c r="H5">
        <v>30</v>
      </c>
      <c r="I5">
        <v>-623851</v>
      </c>
      <c r="J5" s="2">
        <v>-1265940</v>
      </c>
      <c r="K5">
        <v>574230</v>
      </c>
      <c r="N5">
        <v>30</v>
      </c>
      <c r="O5" s="2">
        <v>-1102480</v>
      </c>
      <c r="P5" s="2">
        <v>-1314180</v>
      </c>
      <c r="Q5">
        <v>545248</v>
      </c>
      <c r="T5">
        <v>30</v>
      </c>
      <c r="U5" s="2">
        <v>-1542400</v>
      </c>
      <c r="V5" s="2">
        <v>-1387050</v>
      </c>
      <c r="W5">
        <v>391375</v>
      </c>
    </row>
    <row r="6" spans="1:23" x14ac:dyDescent="0.25">
      <c r="B6">
        <v>40</v>
      </c>
      <c r="C6">
        <v>-270686</v>
      </c>
      <c r="D6" s="2">
        <v>-1312860</v>
      </c>
      <c r="E6">
        <v>580614</v>
      </c>
      <c r="H6">
        <v>40</v>
      </c>
      <c r="I6">
        <v>-457814</v>
      </c>
      <c r="J6" s="2">
        <v>-1289850</v>
      </c>
      <c r="K6">
        <v>612402</v>
      </c>
      <c r="N6">
        <v>40</v>
      </c>
      <c r="O6">
        <v>-759549</v>
      </c>
      <c r="P6" s="2">
        <v>-1263930</v>
      </c>
      <c r="Q6">
        <v>654469</v>
      </c>
      <c r="T6">
        <v>40</v>
      </c>
      <c r="U6" s="2">
        <v>-1297740</v>
      </c>
      <c r="V6" s="2">
        <v>-1313120</v>
      </c>
      <c r="W6">
        <v>634063</v>
      </c>
    </row>
    <row r="7" spans="1:23" x14ac:dyDescent="0.25">
      <c r="B7">
        <v>50</v>
      </c>
      <c r="C7">
        <v>-192343</v>
      </c>
      <c r="D7" s="2">
        <v>-1306670</v>
      </c>
      <c r="E7">
        <v>597168</v>
      </c>
      <c r="H7">
        <v>50</v>
      </c>
      <c r="I7">
        <v>-340948</v>
      </c>
      <c r="J7" s="2">
        <v>-1283880</v>
      </c>
      <c r="K7">
        <v>637260</v>
      </c>
      <c r="N7">
        <v>50</v>
      </c>
      <c r="O7">
        <v>-570341</v>
      </c>
      <c r="P7" s="2">
        <v>-1257170</v>
      </c>
      <c r="Q7">
        <v>686515</v>
      </c>
      <c r="T7">
        <v>50</v>
      </c>
      <c r="U7">
        <v>-913151</v>
      </c>
      <c r="V7" s="2">
        <v>-1222490</v>
      </c>
      <c r="W7">
        <v>743815</v>
      </c>
    </row>
    <row r="8" spans="1:23" x14ac:dyDescent="0.25">
      <c r="B8">
        <v>60</v>
      </c>
      <c r="C8">
        <v>-143592</v>
      </c>
      <c r="D8" s="2">
        <v>-1189130</v>
      </c>
      <c r="E8">
        <v>705817</v>
      </c>
      <c r="H8">
        <v>60</v>
      </c>
      <c r="I8">
        <v>-226064</v>
      </c>
      <c r="J8" s="2">
        <v>-1218120</v>
      </c>
      <c r="K8">
        <v>765598</v>
      </c>
      <c r="N8">
        <v>60</v>
      </c>
      <c r="O8">
        <v>-434956</v>
      </c>
      <c r="P8" s="2">
        <v>-1251590</v>
      </c>
      <c r="Q8">
        <v>703554</v>
      </c>
      <c r="T8">
        <v>60</v>
      </c>
      <c r="U8">
        <v>-709714</v>
      </c>
      <c r="V8" s="2">
        <v>-1211150</v>
      </c>
      <c r="W8">
        <v>771735</v>
      </c>
    </row>
    <row r="9" spans="1:23" x14ac:dyDescent="0.25">
      <c r="B9">
        <v>70</v>
      </c>
      <c r="C9">
        <v>-374299</v>
      </c>
      <c r="D9" s="2">
        <v>-1111570</v>
      </c>
      <c r="E9">
        <v>767508</v>
      </c>
      <c r="H9">
        <v>70</v>
      </c>
      <c r="I9">
        <v>-449318</v>
      </c>
      <c r="J9" s="2">
        <v>-1164940</v>
      </c>
      <c r="K9">
        <v>833049</v>
      </c>
      <c r="N9">
        <v>70</v>
      </c>
      <c r="O9">
        <v>-314185</v>
      </c>
      <c r="P9" s="2">
        <v>-1307870</v>
      </c>
      <c r="Q9">
        <v>738953</v>
      </c>
      <c r="T9">
        <v>70</v>
      </c>
      <c r="U9">
        <v>-559919</v>
      </c>
      <c r="V9" s="2">
        <v>-1270640</v>
      </c>
      <c r="W9">
        <v>818958</v>
      </c>
    </row>
    <row r="10" spans="1:23" x14ac:dyDescent="0.25">
      <c r="B10">
        <v>80</v>
      </c>
      <c r="C10">
        <v>-117347</v>
      </c>
      <c r="D10" s="2">
        <v>-1303900</v>
      </c>
      <c r="E10">
        <v>605029</v>
      </c>
      <c r="H10">
        <v>80</v>
      </c>
      <c r="I10">
        <v>-242984</v>
      </c>
      <c r="J10" s="2">
        <v>-1283890</v>
      </c>
      <c r="K10">
        <v>647089</v>
      </c>
      <c r="N10">
        <v>80</v>
      </c>
      <c r="O10">
        <v>-197994</v>
      </c>
      <c r="P10" s="2">
        <v>-1308700</v>
      </c>
      <c r="Q10">
        <v>767648</v>
      </c>
      <c r="T10">
        <v>80</v>
      </c>
      <c r="U10">
        <v>-426927</v>
      </c>
      <c r="V10" s="2">
        <v>-1285270</v>
      </c>
      <c r="W10">
        <v>855604</v>
      </c>
    </row>
    <row r="11" spans="1:23" x14ac:dyDescent="0.25">
      <c r="B11">
        <v>90</v>
      </c>
      <c r="C11">
        <v>-29812.6</v>
      </c>
      <c r="D11" s="2">
        <v>-1343530</v>
      </c>
      <c r="E11">
        <v>629946</v>
      </c>
      <c r="H11">
        <v>90</v>
      </c>
      <c r="I11">
        <v>-141228</v>
      </c>
      <c r="J11" s="2">
        <v>-1332980</v>
      </c>
      <c r="K11">
        <v>677558</v>
      </c>
      <c r="N11">
        <v>90</v>
      </c>
      <c r="O11">
        <v>-352719</v>
      </c>
      <c r="P11" s="2">
        <v>-1244230</v>
      </c>
      <c r="Q11">
        <v>843243</v>
      </c>
      <c r="T11">
        <v>90</v>
      </c>
      <c r="U11">
        <v>-549351</v>
      </c>
      <c r="V11" s="2">
        <v>-1272860</v>
      </c>
      <c r="W11">
        <v>948050</v>
      </c>
    </row>
    <row r="12" spans="1:23" x14ac:dyDescent="0.25">
      <c r="B12">
        <v>100</v>
      </c>
      <c r="C12">
        <v>52039.9</v>
      </c>
      <c r="D12" s="2">
        <v>-1323550</v>
      </c>
      <c r="E12">
        <v>650341</v>
      </c>
      <c r="H12">
        <v>100</v>
      </c>
      <c r="I12">
        <v>-45286.1</v>
      </c>
      <c r="J12" s="2">
        <v>-1322820</v>
      </c>
      <c r="K12">
        <v>702165</v>
      </c>
      <c r="N12">
        <v>100</v>
      </c>
      <c r="O12">
        <v>-562232</v>
      </c>
      <c r="P12" s="2">
        <v>-1227640</v>
      </c>
      <c r="Q12">
        <v>920334</v>
      </c>
      <c r="T12">
        <v>100</v>
      </c>
      <c r="U12">
        <v>-735942</v>
      </c>
      <c r="V12" s="2">
        <v>-1310660</v>
      </c>
      <c r="W12" s="2">
        <v>1042060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坝踵处</vt:lpstr>
      <vt:lpstr>坝址处</vt:lpstr>
      <vt:lpstr>坝顶处</vt:lpstr>
      <vt:lpstr>滑动稳定性分析</vt:lpstr>
      <vt:lpstr>法向应力分布(X)</vt:lpstr>
      <vt:lpstr>法向应力分布(Y)</vt:lpstr>
      <vt:lpstr>切向力分布</vt:lpstr>
      <vt:lpstr>总分布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2018-06-15T09:25:00Z</dcterms:created>
  <dcterms:modified xsi:type="dcterms:W3CDTF">2018-06-28T11:41:15Z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