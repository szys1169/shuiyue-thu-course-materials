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3" i="1"/>
  <c r="G4"/>
  <c r="G5"/>
  <c r="G6"/>
  <c r="G7"/>
  <c r="G2"/>
  <c r="E3"/>
  <c r="E4"/>
  <c r="F4" s="1"/>
  <c r="E5"/>
  <c r="F5" s="1"/>
  <c r="E6"/>
  <c r="E7"/>
  <c r="E2"/>
  <c r="F3"/>
  <c r="F6"/>
  <c r="F7"/>
  <c r="F2"/>
  <c r="C3"/>
  <c r="C4"/>
  <c r="C5"/>
  <c r="C6"/>
  <c r="C7"/>
  <c r="C2"/>
</calcChain>
</file>

<file path=xl/sharedStrings.xml><?xml version="1.0" encoding="utf-8"?>
<sst xmlns="http://schemas.openxmlformats.org/spreadsheetml/2006/main" count="3" uniqueCount="3">
  <si>
    <t>fc</t>
    <phoneticPr fontId="1" type="noConversion"/>
  </si>
  <si>
    <t>t</t>
    <phoneticPr fontId="1" type="noConversion"/>
  </si>
  <si>
    <t>teq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</si>
</sst>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Tahoma"/>
      <family val="2"/>
      <charset val="134"/>
    </font>
    <font>
      <sz val="9"/>
      <name val="Tahoma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4015517060367452"/>
          <c:y val="0.157882035578886"/>
          <c:w val="0.74150467191601055"/>
          <c:h val="0.6624437868833275"/>
        </c:manualLayout>
      </c:layout>
      <c:scatterChart>
        <c:scatterStyle val="smoothMarker"/>
        <c:ser>
          <c:idx val="0"/>
          <c:order val="0"/>
          <c:xVal>
            <c:numRef>
              <c:f>Sheet1!$C$2:$C$7</c:f>
              <c:numCache>
                <c:formatCode>General</c:formatCode>
                <c:ptCount val="6"/>
                <c:pt idx="0">
                  <c:v>8.6879999999999988</c:v>
                </c:pt>
                <c:pt idx="1">
                  <c:v>17.375999999999998</c:v>
                </c:pt>
                <c:pt idx="2">
                  <c:v>26.064</c:v>
                </c:pt>
                <c:pt idx="3">
                  <c:v>61.177999999999997</c:v>
                </c:pt>
                <c:pt idx="4">
                  <c:v>121.63199999999999</c:v>
                </c:pt>
                <c:pt idx="5">
                  <c:v>243.626</c:v>
                </c:pt>
              </c:numCache>
            </c:numRef>
          </c:xVal>
          <c:yVal>
            <c:numRef>
              <c:f>Sheet1!$A$2:$A$7</c:f>
              <c:numCache>
                <c:formatCode>General</c:formatCode>
                <c:ptCount val="6"/>
                <c:pt idx="0">
                  <c:v>990</c:v>
                </c:pt>
                <c:pt idx="1">
                  <c:v>2010</c:v>
                </c:pt>
                <c:pt idx="2">
                  <c:v>3080</c:v>
                </c:pt>
                <c:pt idx="3">
                  <c:v>4340</c:v>
                </c:pt>
                <c:pt idx="4">
                  <c:v>5000</c:v>
                </c:pt>
                <c:pt idx="5">
                  <c:v>5555</c:v>
                </c:pt>
              </c:numCache>
            </c:numRef>
          </c:yVal>
          <c:smooth val="1"/>
        </c:ser>
        <c:axId val="78123776"/>
        <c:axId val="78126080"/>
      </c:scatterChart>
      <c:valAx>
        <c:axId val="781237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 sz="1400"/>
                  <a:t>teq</a:t>
                </a:r>
              </a:p>
            </c:rich>
          </c:tx>
          <c:layout/>
        </c:title>
        <c:numFmt formatCode="General" sourceLinked="1"/>
        <c:tickLblPos val="nextTo"/>
        <c:crossAx val="78126080"/>
        <c:crosses val="autoZero"/>
        <c:crossBetween val="midCat"/>
      </c:valAx>
      <c:valAx>
        <c:axId val="7812608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zh-CN" sz="1400"/>
                  <a:t>fc/psi</a:t>
                </a:r>
                <a:endParaRPr lang="zh-CN" altLang="en-US" sz="1400"/>
              </a:p>
            </c:rich>
          </c:tx>
          <c:layout/>
        </c:title>
        <c:numFmt formatCode="General" sourceLinked="1"/>
        <c:tickLblPos val="nextTo"/>
        <c:crossAx val="78123776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390525</xdr:colOff>
      <xdr:row>7</xdr:row>
      <xdr:rowOff>38100</xdr:rowOff>
    </xdr:from>
    <xdr:to>
      <xdr:col>15</xdr:col>
      <xdr:colOff>352425</xdr:colOff>
      <xdr:row>23</xdr:row>
      <xdr:rowOff>133350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0.33542</cdr:x>
      <cdr:y>0.00694</cdr:y>
    </cdr:from>
    <cdr:to>
      <cdr:x>0.6875</cdr:x>
      <cdr:y>0.17361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33524" y="19048"/>
          <a:ext cx="1609725" cy="4572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800"/>
            <a:t>fc-teq</a:t>
          </a:r>
          <a:r>
            <a:rPr lang="en-US" altLang="zh-CN" sz="1800" baseline="0"/>
            <a:t>  curve</a:t>
          </a:r>
          <a:endParaRPr lang="zh-CN" altLang="en-US" sz="18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>
      <selection activeCell="I6" sqref="I6"/>
    </sheetView>
  </sheetViews>
  <sheetFormatPr defaultRowHeight="14.25"/>
  <sheetData>
    <row r="1" spans="1:7">
      <c r="A1" t="s">
        <v>0</v>
      </c>
      <c r="B1" t="s">
        <v>1</v>
      </c>
      <c r="C1" t="s">
        <v>2</v>
      </c>
    </row>
    <row r="2" spans="1:7">
      <c r="A2">
        <v>990</v>
      </c>
      <c r="B2">
        <v>24</v>
      </c>
      <c r="C2">
        <f>0.362*B2</f>
        <v>8.6879999999999988</v>
      </c>
      <c r="D2">
        <v>50</v>
      </c>
      <c r="E2">
        <f>(1/(273+(73-32)/1.8)-1/(273+(D2-32)/1.8))*45000/8.314</f>
        <v>-0.82623929806883423</v>
      </c>
      <c r="F2">
        <f>EXP(E2)</f>
        <v>0.43769222507984579</v>
      </c>
      <c r="G2">
        <f>50/F2</f>
        <v>114.23552244017763</v>
      </c>
    </row>
    <row r="3" spans="1:7">
      <c r="A3">
        <v>2010</v>
      </c>
      <c r="B3">
        <v>48</v>
      </c>
      <c r="C3">
        <f t="shared" ref="C3:C7" si="0">0.362*B3</f>
        <v>17.375999999999998</v>
      </c>
      <c r="D3">
        <v>60</v>
      </c>
      <c r="E3">
        <f t="shared" ref="E3:E7" si="1">(1/(273+(73-32)/1.8)-1/(273+(D3-32)/1.8))*45000/8.314</f>
        <v>-0.45801358420848876</v>
      </c>
      <c r="F3">
        <f t="shared" ref="F3:F7" si="2">EXP(E3)</f>
        <v>0.63253888360892951</v>
      </c>
      <c r="G3">
        <f t="shared" ref="G3:G7" si="3">50/F3</f>
        <v>79.046523930239147</v>
      </c>
    </row>
    <row r="4" spans="1:7">
      <c r="A4">
        <v>3080</v>
      </c>
      <c r="B4">
        <v>72</v>
      </c>
      <c r="C4">
        <f t="shared" si="0"/>
        <v>26.064</v>
      </c>
      <c r="D4">
        <v>85</v>
      </c>
      <c r="E4">
        <f t="shared" si="1"/>
        <v>0.4033667365136861</v>
      </c>
      <c r="F4">
        <f t="shared" si="2"/>
        <v>1.4968557426721369</v>
      </c>
      <c r="G4">
        <f t="shared" si="3"/>
        <v>33.403352490562426</v>
      </c>
    </row>
    <row r="5" spans="1:7">
      <c r="A5">
        <v>4340</v>
      </c>
      <c r="B5">
        <v>169</v>
      </c>
      <c r="C5">
        <f t="shared" si="0"/>
        <v>61.177999999999997</v>
      </c>
      <c r="D5">
        <v>95</v>
      </c>
      <c r="E5">
        <f t="shared" si="1"/>
        <v>0.72616683650148861</v>
      </c>
      <c r="F5">
        <f t="shared" si="2"/>
        <v>2.0671417096998947</v>
      </c>
      <c r="G5">
        <f t="shared" si="3"/>
        <v>24.187988547364245</v>
      </c>
    </row>
    <row r="6" spans="1:7">
      <c r="A6">
        <v>5000</v>
      </c>
      <c r="B6">
        <v>336</v>
      </c>
      <c r="C6">
        <f t="shared" si="0"/>
        <v>121.63199999999999</v>
      </c>
      <c r="D6">
        <v>80</v>
      </c>
      <c r="E6">
        <f t="shared" si="1"/>
        <v>0.23747836477356921</v>
      </c>
      <c r="F6">
        <f t="shared" si="2"/>
        <v>1.2680475619978127</v>
      </c>
      <c r="G6">
        <f t="shared" si="3"/>
        <v>39.430697631897068</v>
      </c>
    </row>
    <row r="7" spans="1:7">
      <c r="A7">
        <v>5555</v>
      </c>
      <c r="B7">
        <v>673</v>
      </c>
      <c r="C7">
        <f t="shared" si="0"/>
        <v>243.626</v>
      </c>
      <c r="D7">
        <v>45</v>
      </c>
      <c r="E7">
        <f t="shared" si="1"/>
        <v>-1.015827358912474</v>
      </c>
      <c r="F7">
        <f t="shared" si="2"/>
        <v>0.36210271695442331</v>
      </c>
      <c r="G7">
        <f t="shared" si="3"/>
        <v>138.08236629799532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2018-12-11T12:07:07Z</dcterms:modified>
</cp:coreProperties>
</file>