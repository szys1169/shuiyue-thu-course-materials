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D48" i="1" l="1"/>
  <c r="E48" i="1"/>
  <c r="F48" i="1"/>
  <c r="G48" i="1"/>
  <c r="H48" i="1"/>
  <c r="I48" i="1"/>
  <c r="J48" i="1"/>
  <c r="C48" i="1"/>
  <c r="C49" i="1"/>
  <c r="D53" i="1" l="1"/>
  <c r="E53" i="1"/>
  <c r="F53" i="1"/>
  <c r="G53" i="1"/>
  <c r="H53" i="1"/>
  <c r="I53" i="1"/>
  <c r="J53" i="1"/>
  <c r="D52" i="1"/>
  <c r="E52" i="1"/>
  <c r="F52" i="1"/>
  <c r="I52" i="1"/>
  <c r="J52" i="1"/>
  <c r="C53" i="1"/>
  <c r="C52" i="1"/>
  <c r="D51" i="1"/>
  <c r="E51" i="1"/>
  <c r="F51" i="1"/>
  <c r="G51" i="1"/>
  <c r="H51" i="1"/>
  <c r="I51" i="1"/>
  <c r="J51" i="1"/>
  <c r="C51" i="1"/>
  <c r="D50" i="1"/>
  <c r="E50" i="1"/>
  <c r="F50" i="1"/>
  <c r="G50" i="1"/>
  <c r="H50" i="1"/>
  <c r="I50" i="1"/>
  <c r="J50" i="1"/>
  <c r="C50" i="1"/>
  <c r="D49" i="1"/>
  <c r="E49" i="1"/>
  <c r="F49" i="1"/>
  <c r="I49" i="1"/>
  <c r="J49" i="1"/>
  <c r="D39" i="1"/>
  <c r="E39" i="1"/>
  <c r="F39" i="1"/>
  <c r="G39" i="1"/>
  <c r="H39" i="1"/>
  <c r="I39" i="1"/>
  <c r="J39" i="1"/>
  <c r="C39" i="1"/>
  <c r="J36" i="1"/>
  <c r="D36" i="1"/>
  <c r="E36" i="1"/>
  <c r="F36" i="1"/>
  <c r="G36" i="1"/>
  <c r="H36" i="1"/>
  <c r="I36" i="1"/>
  <c r="C36" i="1"/>
  <c r="D35" i="1"/>
  <c r="E35" i="1"/>
  <c r="F35" i="1"/>
  <c r="G35" i="1"/>
  <c r="H35" i="1"/>
  <c r="I35" i="1"/>
  <c r="J35" i="1"/>
  <c r="C35" i="1"/>
  <c r="D47" i="1"/>
  <c r="E47" i="1"/>
  <c r="F47" i="1"/>
  <c r="I47" i="1"/>
  <c r="J47" i="1"/>
  <c r="C47" i="1"/>
  <c r="D46" i="1"/>
  <c r="E46" i="1"/>
  <c r="F46" i="1"/>
  <c r="I46" i="1"/>
  <c r="J46" i="1"/>
  <c r="C46" i="1"/>
  <c r="D45" i="1"/>
  <c r="E45" i="1"/>
  <c r="F45" i="1"/>
  <c r="G45" i="1"/>
  <c r="H45" i="1"/>
  <c r="I45" i="1"/>
  <c r="J45" i="1"/>
  <c r="C45" i="1"/>
  <c r="D43" i="1"/>
  <c r="E43" i="1"/>
  <c r="F43" i="1"/>
  <c r="G43" i="1"/>
  <c r="G46" i="1" s="1"/>
  <c r="G49" i="1" s="1"/>
  <c r="G52" i="1" s="1"/>
  <c r="H43" i="1"/>
  <c r="H47" i="1" s="1"/>
  <c r="I43" i="1"/>
  <c r="J43" i="1"/>
  <c r="D44" i="1"/>
  <c r="E44" i="1"/>
  <c r="F44" i="1"/>
  <c r="G44" i="1"/>
  <c r="H44" i="1"/>
  <c r="I44" i="1"/>
  <c r="J44" i="1"/>
  <c r="C44" i="1"/>
  <c r="C43" i="1"/>
  <c r="D34" i="1"/>
  <c r="E34" i="1"/>
  <c r="F34" i="1"/>
  <c r="G34" i="1"/>
  <c r="H34" i="1"/>
  <c r="I34" i="1"/>
  <c r="J34" i="1"/>
  <c r="C34" i="1"/>
  <c r="D32" i="1"/>
  <c r="E32" i="1"/>
  <c r="F32" i="1"/>
  <c r="G32" i="1"/>
  <c r="H32" i="1"/>
  <c r="I32" i="1"/>
  <c r="J32" i="1"/>
  <c r="C32" i="1"/>
  <c r="C30" i="1"/>
  <c r="D30" i="1" s="1"/>
  <c r="E30" i="1" s="1"/>
  <c r="F30" i="1" s="1"/>
  <c r="G30" i="1" s="1"/>
  <c r="H30" i="1" s="1"/>
  <c r="I30" i="1" s="1"/>
  <c r="J30" i="1" s="1"/>
  <c r="J28" i="1"/>
  <c r="I28" i="1"/>
  <c r="H28" i="1"/>
  <c r="G28" i="1"/>
  <c r="F28" i="1"/>
  <c r="E28" i="1"/>
  <c r="D28" i="1"/>
  <c r="C28" i="1"/>
  <c r="G47" i="1" l="1"/>
  <c r="H46" i="1"/>
  <c r="H49" i="1" s="1"/>
  <c r="H52" i="1" s="1"/>
  <c r="M4" i="1"/>
  <c r="M5" i="1" s="1"/>
  <c r="M6" i="1" s="1"/>
  <c r="M7" i="1" s="1"/>
  <c r="M8" i="1" s="1"/>
  <c r="M9" i="1" s="1"/>
  <c r="M10" i="1" s="1"/>
  <c r="M11" i="1" s="1"/>
  <c r="K8" i="1"/>
  <c r="K11" i="1"/>
  <c r="K10" i="1"/>
  <c r="K9" i="1"/>
  <c r="K7" i="1"/>
  <c r="K6" i="1"/>
  <c r="K5" i="1"/>
  <c r="K4" i="1"/>
</calcChain>
</file>

<file path=xl/sharedStrings.xml><?xml version="1.0" encoding="utf-8"?>
<sst xmlns="http://schemas.openxmlformats.org/spreadsheetml/2006/main" count="58" uniqueCount="42">
  <si>
    <t>t1/mV</t>
    <phoneticPr fontId="1" type="noConversion"/>
  </si>
  <si>
    <t>t2/mV</t>
  </si>
  <si>
    <t>t3/mV</t>
  </si>
  <si>
    <t>t4/mV</t>
  </si>
  <si>
    <t>t5/mV</t>
  </si>
  <si>
    <t>t6/mV</t>
  </si>
  <si>
    <t>t7/mV</t>
  </si>
  <si>
    <t>t8/mV</t>
  </si>
  <si>
    <t>tf/mV</t>
    <phoneticPr fontId="1" type="noConversion"/>
  </si>
  <si>
    <t>UR/mV</t>
    <phoneticPr fontId="1" type="noConversion"/>
  </si>
  <si>
    <t>U/V</t>
    <phoneticPr fontId="1" type="noConversion"/>
  </si>
  <si>
    <t>序号</t>
    <phoneticPr fontId="1" type="noConversion"/>
  </si>
  <si>
    <t>twa/mV</t>
    <phoneticPr fontId="1" type="noConversion"/>
  </si>
  <si>
    <t>tfa/mV</t>
    <phoneticPr fontId="1" type="noConversion"/>
  </si>
  <si>
    <t>twa/℃</t>
    <phoneticPr fontId="1" type="noConversion"/>
  </si>
  <si>
    <t>tfa/℃</t>
    <phoneticPr fontId="1" type="noConversion"/>
  </si>
  <si>
    <t xml:space="preserve"> </t>
    <phoneticPr fontId="1" type="noConversion"/>
  </si>
  <si>
    <t>R/Ω</t>
    <phoneticPr fontId="1" type="noConversion"/>
  </si>
  <si>
    <t>Q/W</t>
    <phoneticPr fontId="1" type="noConversion"/>
  </si>
  <si>
    <t>Tw/K</t>
    <phoneticPr fontId="1" type="noConversion"/>
  </si>
  <si>
    <t>Tf/K</t>
    <phoneticPr fontId="1" type="noConversion"/>
  </si>
  <si>
    <t>ε</t>
    <phoneticPr fontId="1" type="noConversion"/>
  </si>
  <si>
    <t>C0</t>
    <phoneticPr fontId="1" type="noConversion"/>
  </si>
  <si>
    <t>D/mm</t>
    <phoneticPr fontId="1" type="noConversion"/>
  </si>
  <si>
    <t>L/mm</t>
    <phoneticPr fontId="1" type="noConversion"/>
  </si>
  <si>
    <t>F/m^2</t>
    <phoneticPr fontId="1" type="noConversion"/>
  </si>
  <si>
    <t>hz</t>
    <phoneticPr fontId="1" type="noConversion"/>
  </si>
  <si>
    <t>hj</t>
    <phoneticPr fontId="1" type="noConversion"/>
  </si>
  <si>
    <t>Qr/W</t>
    <phoneticPr fontId="1" type="noConversion"/>
  </si>
  <si>
    <t>tm/℃</t>
    <phoneticPr fontId="1" type="noConversion"/>
  </si>
  <si>
    <t>Tm/K</t>
    <phoneticPr fontId="1" type="noConversion"/>
  </si>
  <si>
    <t>λ/W/m*K</t>
    <phoneticPr fontId="1" type="noConversion"/>
  </si>
  <si>
    <t>ν/m^2/s</t>
    <phoneticPr fontId="1" type="noConversion"/>
  </si>
  <si>
    <t>α/K^-1</t>
    <phoneticPr fontId="1" type="noConversion"/>
  </si>
  <si>
    <t>g</t>
    <phoneticPr fontId="1" type="noConversion"/>
  </si>
  <si>
    <t>Pr</t>
    <phoneticPr fontId="1" type="noConversion"/>
  </si>
  <si>
    <t>Nu</t>
    <phoneticPr fontId="1" type="noConversion"/>
  </si>
  <si>
    <t>Gr</t>
    <phoneticPr fontId="1" type="noConversion"/>
  </si>
  <si>
    <t>Gr*Pr</t>
    <phoneticPr fontId="1" type="noConversion"/>
  </si>
  <si>
    <t>lgNu</t>
    <phoneticPr fontId="1" type="noConversion"/>
  </si>
  <si>
    <t>lg(Gr*Pr)</t>
    <phoneticPr fontId="1" type="noConversion"/>
  </si>
  <si>
    <t>（hj-hz）/hz%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</si>
</sst>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0"/>
    <numFmt numFmtId="177" formatCode="0.0000"/>
    <numFmt numFmtId="178" formatCode="0.00_);[Red]\(0.00\)"/>
    <numFmt numFmtId="179" formatCode="0_);[Red]\(0\)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Font="1" applyBorder="1" applyAlignment="1">
      <alignment horizontal="center"/>
    </xf>
    <xf numFmtId="176" fontId="0" fillId="0" borderId="5" xfId="0" applyNumberFormat="1" applyBorder="1" applyAlignment="1">
      <alignment horizontal="center"/>
    </xf>
    <xf numFmtId="176" fontId="0" fillId="0" borderId="6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11" fontId="0" fillId="0" borderId="5" xfId="0" applyNumberFormat="1" applyBorder="1" applyAlignment="1">
      <alignment horizontal="center"/>
    </xf>
    <xf numFmtId="11" fontId="0" fillId="0" borderId="6" xfId="0" applyNumberFormat="1" applyBorder="1" applyAlignment="1">
      <alignment horizontal="center"/>
    </xf>
    <xf numFmtId="177" fontId="0" fillId="0" borderId="5" xfId="0" applyNumberFormat="1" applyBorder="1" applyAlignment="1">
      <alignment horizontal="center"/>
    </xf>
    <xf numFmtId="177" fontId="0" fillId="0" borderId="6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4" xfId="0" applyBorder="1" applyAlignment="1">
      <alignment horizontal="center" wrapText="1"/>
    </xf>
    <xf numFmtId="178" fontId="0" fillId="0" borderId="5" xfId="0" applyNumberFormat="1" applyBorder="1" applyAlignment="1">
      <alignment horizontal="center"/>
    </xf>
    <xf numFmtId="178" fontId="0" fillId="0" borderId="6" xfId="0" applyNumberFormat="1" applyBorder="1" applyAlignment="1">
      <alignment horizontal="center"/>
    </xf>
    <xf numFmtId="179" fontId="0" fillId="0" borderId="5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10870516185478"/>
          <c:y val="0.20150434684036583"/>
          <c:w val="0.78211801973029238"/>
          <c:h val="0.7142445566397224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lgNu与lgGrPr拟合</c:name>
            <c:spPr>
              <a:ln w="15875" cap="rnd" cmpd="sng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0.5"/>
            <c:backward val="0.30000000000000004"/>
            <c:dispRSqr val="1"/>
            <c:dispEq val="1"/>
            <c:trendlineLbl>
              <c:layout>
                <c:manualLayout>
                  <c:x val="-0.13067344706911635"/>
                  <c:y val="2.7777777777777776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000" b="1" baseline="0">
                        <a:solidFill>
                          <a:schemeClr val="tx1"/>
                        </a:solidFill>
                      </a:rPr>
                      <a:t>y = 0.2081x - 0.0487</a:t>
                    </a:r>
                    <a:br>
                      <a:rPr lang="en-US" altLang="zh-CN" sz="1000" b="1" baseline="0">
                        <a:solidFill>
                          <a:schemeClr val="tx1"/>
                        </a:solidFill>
                      </a:rPr>
                    </a:br>
                    <a:r>
                      <a:rPr lang="en-US" altLang="zh-CN" sz="1000" b="1" baseline="0">
                        <a:solidFill>
                          <a:schemeClr val="tx1"/>
                        </a:solidFill>
                      </a:rPr>
                      <a:t>R² = 0.9018</a:t>
                    </a:r>
                    <a:endParaRPr lang="en-US" altLang="zh-CN" sz="1000" b="1">
                      <a:solidFill>
                        <a:schemeClr val="tx1"/>
                      </a:solidFill>
                    </a:endParaRPr>
                  </a:p>
                </c:rich>
              </c:tx>
              <c:numFmt formatCode="General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(Sheet1!$C$53:$F$53,Sheet1!$I$53:$J$53)</c:f>
              <c:numCache>
                <c:formatCode>0.00</c:formatCode>
                <c:ptCount val="6"/>
                <c:pt idx="0">
                  <c:v>4.4890224398767709</c:v>
                </c:pt>
                <c:pt idx="1">
                  <c:v>5.3833734663887824</c:v>
                </c:pt>
                <c:pt idx="2">
                  <c:v>5.6694474700729272</c:v>
                </c:pt>
                <c:pt idx="3">
                  <c:v>5.0970711581625796</c:v>
                </c:pt>
                <c:pt idx="4">
                  <c:v>4.4479145523327759</c:v>
                </c:pt>
                <c:pt idx="5">
                  <c:v>6.5307024618134326</c:v>
                </c:pt>
              </c:numCache>
            </c:numRef>
          </c:xVal>
          <c:yVal>
            <c:numRef>
              <c:f>(Sheet1!$C$52:$F$52,Sheet1!$I$52:$J$52)</c:f>
              <c:numCache>
                <c:formatCode>0.000</c:formatCode>
                <c:ptCount val="6"/>
                <c:pt idx="0">
                  <c:v>0.8595686135954369</c:v>
                </c:pt>
                <c:pt idx="1">
                  <c:v>1.0338384789433639</c:v>
                </c:pt>
                <c:pt idx="2">
                  <c:v>1.0852248859007472</c:v>
                </c:pt>
                <c:pt idx="3">
                  <c:v>1.1126327185353322</c:v>
                </c:pt>
                <c:pt idx="4">
                  <c:v>0.87262581480124524</c:v>
                </c:pt>
                <c:pt idx="5">
                  <c:v>1.3232084148496823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409648"/>
        <c:axId val="354410432"/>
      </c:scatterChart>
      <c:valAx>
        <c:axId val="354409648"/>
        <c:scaling>
          <c:orientation val="minMax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4410432"/>
        <c:crosses val="autoZero"/>
        <c:crossBetween val="midCat"/>
        <c:majorUnit val="0.60000000000000009"/>
      </c:valAx>
      <c:valAx>
        <c:axId val="354410432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4409648"/>
        <c:crossesAt val="0.60000000000000009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666750</xdr:colOff>
      <xdr:row>54</xdr:row>
      <xdr:rowOff>114300</xdr:rowOff>
    </xdr:from>
    <xdr:to>
      <xdr:col>7</xdr:col>
      <xdr:colOff>219075</xdr:colOff>
      <xdr:row>71</xdr:row>
      <xdr:rowOff>66675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0.30833</cdr:x>
      <cdr:y>0.02431</cdr:y>
    </cdr:from>
    <cdr:to>
      <cdr:x>0.7125</cdr:x>
      <cdr:y>0.14236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1409700" y="66675"/>
          <a:ext cx="184785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400" b="1"/>
            <a:t>lgNu-lgGrPr</a:t>
          </a:r>
          <a:r>
            <a:rPr lang="zh-CN" altLang="en-US" sz="1400" b="1"/>
            <a:t>拟合线</a:t>
          </a:r>
        </a:p>
      </cdr:txBody>
    </cdr:sp>
  </cdr:relSizeAnchor>
  <cdr:relSizeAnchor xmlns:cdr="http://schemas.openxmlformats.org/drawingml/2006/chartDrawing">
    <cdr:from>
      <cdr:x>0.88016</cdr:x>
      <cdr:y>0.87043</cdr:y>
    </cdr:from>
    <cdr:to>
      <cdr:x>0.99483</cdr:x>
      <cdr:y>0.96346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4267200" y="2495545"/>
          <a:ext cx="555960" cy="2667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/>
            <a:t>lgGrPr</a:t>
          </a:r>
          <a:endParaRPr lang="zh-CN" altLang="en-US" sz="1100"/>
        </a:p>
      </cdr:txBody>
    </cdr:sp>
  </cdr:relSizeAnchor>
  <cdr:relSizeAnchor xmlns:cdr="http://schemas.openxmlformats.org/drawingml/2006/chartDrawing">
    <cdr:from>
      <cdr:x>0.07069</cdr:x>
      <cdr:y>0.10299</cdr:y>
    </cdr:from>
    <cdr:to>
      <cdr:x>0.19655</cdr:x>
      <cdr:y>0.21262</cdr:y>
    </cdr:to>
    <cdr:sp macro="" textlink="">
      <cdr:nvSpPr>
        <cdr:cNvPr id="4" name="文本框 3"/>
        <cdr:cNvSpPr txBox="1"/>
      </cdr:nvSpPr>
      <cdr:spPr>
        <a:xfrm xmlns:a="http://schemas.openxmlformats.org/drawingml/2006/main">
          <a:off x="390525" y="295275"/>
          <a:ext cx="695325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/>
            <a:t>lgNu</a:t>
          </a:r>
          <a:endParaRPr lang="zh-CN" altLang="en-US" sz="1100"/>
        </a:p>
      </cdr:txBody>
    </cdr:sp>
  </cdr:relSizeAnchor>
</c:userShape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53"/>
  <sheetViews>
    <sheetView tabSelected="1" topLeftCell="A52" workbookViewId="0">
      <selection activeCell="H74" sqref="H74"/>
    </sheetView>
  </sheetViews>
  <sheetFormatPr defaultRowHeight="13.5" x14ac:dyDescent="0.15"/>
  <cols>
    <col min="1" max="1" width="9" style="1"/>
    <col min="2" max="2" width="12.375" style="1" customWidth="1"/>
    <col min="3" max="3" width="10.125" style="1" customWidth="1"/>
    <col min="4" max="5" width="9.625" style="1" customWidth="1"/>
    <col min="6" max="6" width="9.125" style="1" customWidth="1"/>
    <col min="7" max="7" width="9.625" style="1" customWidth="1"/>
    <col min="8" max="8" width="9.125" style="1" customWidth="1"/>
    <col min="9" max="9" width="10" style="1" customWidth="1"/>
    <col min="10" max="10" width="9.5" style="1" customWidth="1"/>
    <col min="11" max="11" width="8.375" style="1" customWidth="1"/>
    <col min="12" max="16384" width="9" style="1"/>
  </cols>
  <sheetData>
    <row r="3" spans="2:17" x14ac:dyDescent="0.15">
      <c r="B3" s="1" t="s">
        <v>11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12</v>
      </c>
      <c r="L3" s="1" t="s">
        <v>8</v>
      </c>
      <c r="M3" s="1" t="s">
        <v>13</v>
      </c>
      <c r="N3" s="1" t="s">
        <v>14</v>
      </c>
      <c r="O3" s="1" t="s">
        <v>15</v>
      </c>
      <c r="P3" s="1" t="s">
        <v>9</v>
      </c>
      <c r="Q3" s="1" t="s">
        <v>10</v>
      </c>
    </row>
    <row r="4" spans="2:17" x14ac:dyDescent="0.15">
      <c r="B4" s="1">
        <v>1</v>
      </c>
      <c r="C4" s="1">
        <v>3.5430000000000001</v>
      </c>
      <c r="D4" s="1">
        <v>3.6339999999999999</v>
      </c>
      <c r="E4" s="1">
        <v>3.645</v>
      </c>
      <c r="F4" s="1">
        <v>3.512</v>
      </c>
      <c r="K4" s="2">
        <f>AVERAGE(C4:F4)</f>
        <v>3.5834999999999999</v>
      </c>
      <c r="L4" s="1">
        <v>0.63400000000000001</v>
      </c>
      <c r="M4" s="2">
        <f>AVERAGE(L4:L6,L8,L10:L11)</f>
        <v>0.63350000000000006</v>
      </c>
      <c r="N4" s="1">
        <v>85</v>
      </c>
      <c r="O4" s="1">
        <v>16.100000000000001</v>
      </c>
      <c r="P4" s="1">
        <v>4.335</v>
      </c>
      <c r="Q4" s="1">
        <v>60.576000000000001</v>
      </c>
    </row>
    <row r="5" spans="2:17" x14ac:dyDescent="0.15">
      <c r="B5" s="1">
        <v>2</v>
      </c>
      <c r="C5" s="1">
        <v>3.508</v>
      </c>
      <c r="D5" s="1">
        <v>3.6749999999999998</v>
      </c>
      <c r="E5" s="1">
        <v>3.6890000000000001</v>
      </c>
      <c r="F5" s="1">
        <v>3.4489999999999998</v>
      </c>
      <c r="G5" s="1">
        <v>3.3929999999999998</v>
      </c>
      <c r="H5" s="1">
        <v>3.1640000000000001</v>
      </c>
      <c r="K5" s="2">
        <f>AVERAGE(C5:H5)</f>
        <v>3.4796666666666667</v>
      </c>
      <c r="L5" s="1">
        <v>0.63600000000000001</v>
      </c>
      <c r="M5" s="2">
        <f>M4</f>
        <v>0.63350000000000006</v>
      </c>
      <c r="N5" s="1">
        <v>83</v>
      </c>
      <c r="O5" s="1">
        <v>16.100000000000001</v>
      </c>
      <c r="P5" s="1">
        <v>13.613</v>
      </c>
      <c r="Q5" s="1">
        <v>60.51</v>
      </c>
    </row>
    <row r="6" spans="2:17" x14ac:dyDescent="0.15">
      <c r="B6" s="1">
        <v>3</v>
      </c>
      <c r="C6" s="1">
        <v>2.5539999999999998</v>
      </c>
      <c r="D6" s="1">
        <v>2.6659999999999999</v>
      </c>
      <c r="E6" s="1">
        <v>2.7229999999999999</v>
      </c>
      <c r="F6" s="1">
        <v>2.8039999999999998</v>
      </c>
      <c r="G6" s="1">
        <v>2.8029999999999999</v>
      </c>
      <c r="H6" s="1">
        <v>2.7730000000000001</v>
      </c>
      <c r="I6" s="1">
        <v>2.5819999999999999</v>
      </c>
      <c r="K6" s="2">
        <f>AVERAGE(C6:I6)</f>
        <v>2.7007142857142861</v>
      </c>
      <c r="L6" s="1">
        <v>0.63600000000000001</v>
      </c>
      <c r="M6" s="2">
        <f t="shared" ref="M6:M11" si="0">M5</f>
        <v>0.63350000000000006</v>
      </c>
      <c r="N6" s="1">
        <v>65.3</v>
      </c>
      <c r="O6" s="1">
        <v>16.100000000000001</v>
      </c>
      <c r="P6" s="1">
        <v>13.369</v>
      </c>
      <c r="Q6" s="1">
        <v>60.19</v>
      </c>
    </row>
    <row r="7" spans="2:17" x14ac:dyDescent="0.15">
      <c r="B7" s="1">
        <v>4</v>
      </c>
      <c r="C7" s="1">
        <v>2.6640000000000001</v>
      </c>
      <c r="F7" s="1">
        <v>2.9540000000000002</v>
      </c>
      <c r="H7" s="1">
        <v>2.7719999999999998</v>
      </c>
      <c r="K7" s="2">
        <f>AVERAGE(C7,F7,H7)</f>
        <v>2.7966666666666669</v>
      </c>
      <c r="M7" s="2">
        <f t="shared" si="0"/>
        <v>0.63350000000000006</v>
      </c>
      <c r="N7" s="1">
        <v>67.599999999999994</v>
      </c>
      <c r="O7" s="1">
        <v>16.100000000000001</v>
      </c>
      <c r="P7" s="1">
        <v>12.1</v>
      </c>
      <c r="Q7" s="1">
        <v>60.536999999999999</v>
      </c>
    </row>
    <row r="8" spans="2:17" x14ac:dyDescent="0.15">
      <c r="B8" s="1">
        <v>5</v>
      </c>
      <c r="C8" s="1">
        <v>1.373</v>
      </c>
      <c r="E8" s="1">
        <v>1.4</v>
      </c>
      <c r="F8" s="1">
        <v>1.3220000000000001</v>
      </c>
      <c r="K8" s="2">
        <f>AVERAGE(C8,E8,F8)</f>
        <v>1.365</v>
      </c>
      <c r="L8" s="1">
        <v>0.63700000000000001</v>
      </c>
      <c r="M8" s="2">
        <f t="shared" si="0"/>
        <v>0.63350000000000006</v>
      </c>
      <c r="N8" s="1">
        <v>34.1</v>
      </c>
      <c r="O8" s="1">
        <v>16.100000000000001</v>
      </c>
      <c r="P8" s="1">
        <v>23.443999999999999</v>
      </c>
      <c r="Q8" s="1">
        <v>12.448</v>
      </c>
    </row>
    <row r="9" spans="2:17" x14ac:dyDescent="0.15">
      <c r="B9" s="1">
        <v>6</v>
      </c>
      <c r="C9" s="1">
        <v>0.91600000000000004</v>
      </c>
      <c r="D9" s="1">
        <v>0.95799999999999996</v>
      </c>
      <c r="E9" s="1">
        <v>0.96499999999999997</v>
      </c>
      <c r="F9" s="1">
        <v>0.93100000000000005</v>
      </c>
      <c r="K9" s="2">
        <f>AVERAGE(C9:F9)</f>
        <v>0.9425</v>
      </c>
      <c r="M9" s="2">
        <f t="shared" si="0"/>
        <v>0.63350000000000006</v>
      </c>
      <c r="N9" s="1">
        <v>23.8</v>
      </c>
      <c r="O9" s="1">
        <v>16.100000000000001</v>
      </c>
      <c r="P9" s="1">
        <v>4.4550000000000001</v>
      </c>
      <c r="Q9" s="1">
        <v>12.430999999999999</v>
      </c>
    </row>
    <row r="10" spans="2:17" x14ac:dyDescent="0.15">
      <c r="B10" s="1">
        <v>7</v>
      </c>
      <c r="C10" s="1">
        <v>1.34</v>
      </c>
      <c r="D10" s="1">
        <v>1.409</v>
      </c>
      <c r="E10" s="1">
        <v>1.401</v>
      </c>
      <c r="F10" s="1">
        <v>1.4079999999999999</v>
      </c>
      <c r="G10" s="1">
        <v>1.4079999999999999</v>
      </c>
      <c r="H10" s="1">
        <v>1.3919999999999999</v>
      </c>
      <c r="K10" s="2">
        <f>AVERAGE(C10:H10)</f>
        <v>1.3929999999999998</v>
      </c>
      <c r="L10" s="1">
        <v>0.63</v>
      </c>
      <c r="M10" s="2">
        <f t="shared" si="0"/>
        <v>0.63350000000000006</v>
      </c>
      <c r="N10" s="1">
        <v>34.799999999999997</v>
      </c>
      <c r="O10" s="1">
        <v>16.100000000000001</v>
      </c>
      <c r="P10" s="1">
        <v>7.4870000000000001</v>
      </c>
      <c r="Q10" s="1">
        <v>12.417999999999999</v>
      </c>
    </row>
    <row r="11" spans="2:17" x14ac:dyDescent="0.15">
      <c r="B11" s="1">
        <v>8</v>
      </c>
      <c r="C11" s="1">
        <v>4.91</v>
      </c>
      <c r="D11" s="1">
        <v>5.4269999999999996</v>
      </c>
      <c r="E11" s="1">
        <v>5.4210000000000003</v>
      </c>
      <c r="F11" s="1">
        <v>5.367</v>
      </c>
      <c r="G11" s="1">
        <v>5.44</v>
      </c>
      <c r="H11" s="1">
        <v>5.2839999999999998</v>
      </c>
      <c r="I11" s="1">
        <v>4.9800000000000004</v>
      </c>
      <c r="J11" s="1">
        <v>4.2249999999999996</v>
      </c>
      <c r="K11" s="2">
        <f>AVERAGE(C11:J11)</f>
        <v>5.1317500000000003</v>
      </c>
      <c r="L11" s="1">
        <v>0.628</v>
      </c>
      <c r="M11" s="2">
        <f t="shared" si="0"/>
        <v>0.63350000000000006</v>
      </c>
      <c r="N11" s="1">
        <v>118</v>
      </c>
      <c r="O11" s="1">
        <v>16.100000000000001</v>
      </c>
      <c r="P11" s="1">
        <v>26.49</v>
      </c>
      <c r="Q11" s="1">
        <v>187.15</v>
      </c>
    </row>
    <row r="12" spans="2:17" ht="14.25" thickBot="1" x14ac:dyDescent="0.2">
      <c r="B12" s="1" t="s">
        <v>16</v>
      </c>
    </row>
    <row r="13" spans="2:17" ht="17.100000000000001" customHeight="1" x14ac:dyDescent="0.15">
      <c r="B13" s="3" t="s">
        <v>11</v>
      </c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5">
        <v>8</v>
      </c>
    </row>
    <row r="14" spans="2:17" ht="17.100000000000001" customHeight="1" x14ac:dyDescent="0.15">
      <c r="B14" s="6" t="s">
        <v>17</v>
      </c>
      <c r="C14" s="7">
        <v>0.01</v>
      </c>
      <c r="D14" s="7">
        <v>0.01</v>
      </c>
      <c r="E14" s="7">
        <v>0.01</v>
      </c>
      <c r="F14" s="7">
        <v>0.01</v>
      </c>
      <c r="G14" s="7">
        <v>0.1</v>
      </c>
      <c r="H14" s="7">
        <v>0.01</v>
      </c>
      <c r="I14" s="7">
        <v>0.01</v>
      </c>
      <c r="J14" s="8">
        <v>0.01</v>
      </c>
    </row>
    <row r="15" spans="2:17" ht="17.100000000000001" customHeight="1" x14ac:dyDescent="0.15">
      <c r="B15" s="6" t="s">
        <v>23</v>
      </c>
      <c r="C15" s="7">
        <v>19</v>
      </c>
      <c r="D15" s="7">
        <v>38</v>
      </c>
      <c r="E15" s="7">
        <v>50</v>
      </c>
      <c r="F15" s="7">
        <v>32</v>
      </c>
      <c r="G15" s="7">
        <v>13</v>
      </c>
      <c r="H15" s="7">
        <v>15.8</v>
      </c>
      <c r="I15" s="7">
        <v>25</v>
      </c>
      <c r="J15" s="8">
        <v>86.4</v>
      </c>
    </row>
    <row r="16" spans="2:17" ht="17.100000000000001" customHeight="1" x14ac:dyDescent="0.15">
      <c r="B16" s="6" t="s">
        <v>24</v>
      </c>
      <c r="C16" s="7">
        <v>560</v>
      </c>
      <c r="D16" s="7">
        <v>1190</v>
      </c>
      <c r="E16" s="7">
        <v>1430</v>
      </c>
      <c r="F16" s="7">
        <v>1200</v>
      </c>
      <c r="G16" s="7">
        <v>400</v>
      </c>
      <c r="H16" s="7">
        <v>500</v>
      </c>
      <c r="I16" s="7">
        <v>760</v>
      </c>
      <c r="J16" s="8">
        <v>2271</v>
      </c>
    </row>
    <row r="17" spans="2:10" ht="17.100000000000001" customHeight="1" x14ac:dyDescent="0.15">
      <c r="B17" s="9" t="s">
        <v>21</v>
      </c>
      <c r="C17" s="7">
        <v>0.08</v>
      </c>
      <c r="D17" s="7">
        <v>0.08</v>
      </c>
      <c r="E17" s="7">
        <v>0.08</v>
      </c>
      <c r="F17" s="7">
        <v>0.08</v>
      </c>
      <c r="G17" s="7">
        <v>0.08</v>
      </c>
      <c r="H17" s="7">
        <v>0.08</v>
      </c>
      <c r="I17" s="7">
        <v>0.08</v>
      </c>
      <c r="J17" s="8">
        <v>0.08</v>
      </c>
    </row>
    <row r="18" spans="2:10" ht="17.100000000000001" customHeight="1" x14ac:dyDescent="0.15">
      <c r="B18" s="9" t="s">
        <v>34</v>
      </c>
      <c r="C18" s="7">
        <v>9.81</v>
      </c>
      <c r="D18" s="7">
        <v>9.81</v>
      </c>
      <c r="E18" s="7">
        <v>9.81</v>
      </c>
      <c r="F18" s="7">
        <v>9.81</v>
      </c>
      <c r="G18" s="7">
        <v>9.81</v>
      </c>
      <c r="H18" s="7">
        <v>9.81</v>
      </c>
      <c r="I18" s="7">
        <v>9.81</v>
      </c>
      <c r="J18" s="8">
        <v>9.81</v>
      </c>
    </row>
    <row r="19" spans="2:10" ht="17.100000000000001" customHeight="1" x14ac:dyDescent="0.15">
      <c r="B19" s="9" t="s">
        <v>22</v>
      </c>
      <c r="C19" s="7">
        <v>5.67</v>
      </c>
      <c r="D19" s="7">
        <v>5.67</v>
      </c>
      <c r="E19" s="7">
        <v>5.67</v>
      </c>
      <c r="F19" s="7">
        <v>5.67</v>
      </c>
      <c r="G19" s="7">
        <v>5.67</v>
      </c>
      <c r="H19" s="7">
        <v>5.67</v>
      </c>
      <c r="I19" s="7">
        <v>5.67</v>
      </c>
      <c r="J19" s="8">
        <v>5.67</v>
      </c>
    </row>
    <row r="20" spans="2:10" ht="17.100000000000001" customHeight="1" x14ac:dyDescent="0.15">
      <c r="B20" s="6" t="s">
        <v>0</v>
      </c>
      <c r="C20" s="7">
        <v>3.5430000000000001</v>
      </c>
      <c r="D20" s="7">
        <v>3.508</v>
      </c>
      <c r="E20" s="7">
        <v>2.5539999999999998</v>
      </c>
      <c r="F20" s="7">
        <v>2.6640000000000001</v>
      </c>
      <c r="G20" s="7">
        <v>1.373</v>
      </c>
      <c r="H20" s="7">
        <v>0.91600000000000004</v>
      </c>
      <c r="I20" s="7">
        <v>1.34</v>
      </c>
      <c r="J20" s="8">
        <v>4.91</v>
      </c>
    </row>
    <row r="21" spans="2:10" ht="17.100000000000001" customHeight="1" x14ac:dyDescent="0.15">
      <c r="B21" s="6" t="s">
        <v>1</v>
      </c>
      <c r="C21" s="7">
        <v>3.6339999999999999</v>
      </c>
      <c r="D21" s="7">
        <v>3.6749999999999998</v>
      </c>
      <c r="E21" s="7">
        <v>2.6659999999999999</v>
      </c>
      <c r="F21" s="7"/>
      <c r="G21" s="7"/>
      <c r="H21" s="7">
        <v>0.95799999999999996</v>
      </c>
      <c r="I21" s="7">
        <v>1.409</v>
      </c>
      <c r="J21" s="8">
        <v>5.4269999999999996</v>
      </c>
    </row>
    <row r="22" spans="2:10" ht="17.100000000000001" customHeight="1" x14ac:dyDescent="0.15">
      <c r="B22" s="6" t="s">
        <v>2</v>
      </c>
      <c r="C22" s="7">
        <v>3.645</v>
      </c>
      <c r="D22" s="7">
        <v>3.6890000000000001</v>
      </c>
      <c r="E22" s="7">
        <v>2.7229999999999999</v>
      </c>
      <c r="F22" s="7"/>
      <c r="G22" s="7">
        <v>1.4</v>
      </c>
      <c r="H22" s="7">
        <v>0.96499999999999997</v>
      </c>
      <c r="I22" s="7">
        <v>1.401</v>
      </c>
      <c r="J22" s="8">
        <v>5.4210000000000003</v>
      </c>
    </row>
    <row r="23" spans="2:10" ht="17.100000000000001" customHeight="1" x14ac:dyDescent="0.15">
      <c r="B23" s="6" t="s">
        <v>3</v>
      </c>
      <c r="C23" s="7">
        <v>3.512</v>
      </c>
      <c r="D23" s="7">
        <v>3.4489999999999998</v>
      </c>
      <c r="E23" s="7">
        <v>2.8039999999999998</v>
      </c>
      <c r="F23" s="7">
        <v>2.9540000000000002</v>
      </c>
      <c r="G23" s="7">
        <v>1.3220000000000001</v>
      </c>
      <c r="H23" s="7">
        <v>0.93100000000000005</v>
      </c>
      <c r="I23" s="7">
        <v>1.4079999999999999</v>
      </c>
      <c r="J23" s="8">
        <v>5.367</v>
      </c>
    </row>
    <row r="24" spans="2:10" ht="17.100000000000001" customHeight="1" x14ac:dyDescent="0.15">
      <c r="B24" s="6" t="s">
        <v>4</v>
      </c>
      <c r="C24" s="7"/>
      <c r="D24" s="7">
        <v>3.3929999999999998</v>
      </c>
      <c r="E24" s="7">
        <v>2.8029999999999999</v>
      </c>
      <c r="F24" s="7"/>
      <c r="G24" s="7"/>
      <c r="H24" s="7"/>
      <c r="I24" s="7">
        <v>1.4079999999999999</v>
      </c>
      <c r="J24" s="8">
        <v>5.44</v>
      </c>
    </row>
    <row r="25" spans="2:10" ht="17.100000000000001" customHeight="1" x14ac:dyDescent="0.15">
      <c r="B25" s="6" t="s">
        <v>5</v>
      </c>
      <c r="C25" s="7"/>
      <c r="D25" s="7">
        <v>3.1640000000000001</v>
      </c>
      <c r="E25" s="7">
        <v>2.7730000000000001</v>
      </c>
      <c r="F25" s="7">
        <v>2.7719999999999998</v>
      </c>
      <c r="G25" s="7"/>
      <c r="H25" s="7"/>
      <c r="I25" s="7">
        <v>1.3919999999999999</v>
      </c>
      <c r="J25" s="8">
        <v>5.2839999999999998</v>
      </c>
    </row>
    <row r="26" spans="2:10" ht="17.100000000000001" customHeight="1" x14ac:dyDescent="0.15">
      <c r="B26" s="6" t="s">
        <v>6</v>
      </c>
      <c r="C26" s="7"/>
      <c r="D26" s="7"/>
      <c r="E26" s="7">
        <v>2.5819999999999999</v>
      </c>
      <c r="F26" s="7"/>
      <c r="G26" s="7"/>
      <c r="H26" s="7"/>
      <c r="I26" s="7"/>
      <c r="J26" s="8">
        <v>4.9800000000000004</v>
      </c>
    </row>
    <row r="27" spans="2:10" ht="17.100000000000001" customHeight="1" x14ac:dyDescent="0.15">
      <c r="B27" s="6" t="s">
        <v>7</v>
      </c>
      <c r="C27" s="7"/>
      <c r="D27" s="7"/>
      <c r="E27" s="7"/>
      <c r="F27" s="7"/>
      <c r="G27" s="7"/>
      <c r="H27" s="7"/>
      <c r="I27" s="7"/>
      <c r="J27" s="8">
        <v>4.2249999999999996</v>
      </c>
    </row>
    <row r="28" spans="2:10" ht="17.100000000000001" customHeight="1" x14ac:dyDescent="0.15">
      <c r="B28" s="6" t="s">
        <v>12</v>
      </c>
      <c r="C28" s="10">
        <f>AVERAGE(C20:C23)</f>
        <v>3.5834999999999999</v>
      </c>
      <c r="D28" s="10">
        <f>AVERAGE(D20:D25)</f>
        <v>3.4796666666666667</v>
      </c>
      <c r="E28" s="10">
        <f>AVERAGE(E20:E26)</f>
        <v>2.7007142857142861</v>
      </c>
      <c r="F28" s="10">
        <f>AVERAGE(F20,F23,F25)</f>
        <v>2.7966666666666669</v>
      </c>
      <c r="G28" s="10">
        <f>AVERAGE(G20,G22,G23)</f>
        <v>1.365</v>
      </c>
      <c r="H28" s="10">
        <f>AVERAGE(H20:H23)</f>
        <v>0.9425</v>
      </c>
      <c r="I28" s="10">
        <f>AVERAGE(I20:I25)</f>
        <v>1.3929999999999998</v>
      </c>
      <c r="J28" s="11">
        <f>AVERAGE(J20:J27)</f>
        <v>5.1317500000000003</v>
      </c>
    </row>
    <row r="29" spans="2:10" ht="17.100000000000001" customHeight="1" x14ac:dyDescent="0.15">
      <c r="B29" s="6" t="s">
        <v>8</v>
      </c>
      <c r="C29" s="7">
        <v>0.63400000000000001</v>
      </c>
      <c r="D29" s="7">
        <v>0.63600000000000001</v>
      </c>
      <c r="E29" s="7">
        <v>0.63600000000000001</v>
      </c>
      <c r="F29" s="7"/>
      <c r="G29" s="7">
        <v>0.63700000000000001</v>
      </c>
      <c r="H29" s="7"/>
      <c r="I29" s="7">
        <v>0.63</v>
      </c>
      <c r="J29" s="8">
        <v>0.628</v>
      </c>
    </row>
    <row r="30" spans="2:10" ht="17.100000000000001" customHeight="1" x14ac:dyDescent="0.15">
      <c r="B30" s="6" t="s">
        <v>13</v>
      </c>
      <c r="C30" s="10">
        <f>AVERAGE(C29:E29,G29,I29:J29)</f>
        <v>0.63350000000000006</v>
      </c>
      <c r="D30" s="10">
        <f t="shared" ref="D30:J30" si="1">C30</f>
        <v>0.63350000000000006</v>
      </c>
      <c r="E30" s="10">
        <f t="shared" si="1"/>
        <v>0.63350000000000006</v>
      </c>
      <c r="F30" s="10">
        <f t="shared" si="1"/>
        <v>0.63350000000000006</v>
      </c>
      <c r="G30" s="10">
        <f t="shared" si="1"/>
        <v>0.63350000000000006</v>
      </c>
      <c r="H30" s="10">
        <f t="shared" si="1"/>
        <v>0.63350000000000006</v>
      </c>
      <c r="I30" s="10">
        <f t="shared" si="1"/>
        <v>0.63350000000000006</v>
      </c>
      <c r="J30" s="11">
        <f t="shared" si="1"/>
        <v>0.63350000000000006</v>
      </c>
    </row>
    <row r="31" spans="2:10" ht="17.100000000000001" customHeight="1" x14ac:dyDescent="0.15">
      <c r="B31" s="6" t="s">
        <v>14</v>
      </c>
      <c r="C31" s="7">
        <v>85</v>
      </c>
      <c r="D31" s="7">
        <v>83</v>
      </c>
      <c r="E31" s="7">
        <v>65.3</v>
      </c>
      <c r="F31" s="7">
        <v>67.599999999999994</v>
      </c>
      <c r="G31" s="7">
        <v>34.1</v>
      </c>
      <c r="H31" s="7">
        <v>23.8</v>
      </c>
      <c r="I31" s="7">
        <v>34.799999999999997</v>
      </c>
      <c r="J31" s="8">
        <v>118</v>
      </c>
    </row>
    <row r="32" spans="2:10" ht="17.100000000000001" customHeight="1" x14ac:dyDescent="0.15">
      <c r="B32" s="6" t="s">
        <v>19</v>
      </c>
      <c r="C32" s="7">
        <f>C31+273.15</f>
        <v>358.15</v>
      </c>
      <c r="D32" s="7">
        <f t="shared" ref="D32:J32" si="2">D31+273.15</f>
        <v>356.15</v>
      </c>
      <c r="E32" s="7">
        <f t="shared" si="2"/>
        <v>338.45</v>
      </c>
      <c r="F32" s="7">
        <f t="shared" si="2"/>
        <v>340.75</v>
      </c>
      <c r="G32" s="7">
        <f t="shared" si="2"/>
        <v>307.25</v>
      </c>
      <c r="H32" s="7">
        <f t="shared" si="2"/>
        <v>296.95</v>
      </c>
      <c r="I32" s="7">
        <f t="shared" si="2"/>
        <v>307.95</v>
      </c>
      <c r="J32" s="8">
        <f t="shared" si="2"/>
        <v>391.15</v>
      </c>
    </row>
    <row r="33" spans="2:10" ht="17.100000000000001" customHeight="1" x14ac:dyDescent="0.15">
      <c r="B33" s="6" t="s">
        <v>15</v>
      </c>
      <c r="C33" s="7">
        <v>16.100000000000001</v>
      </c>
      <c r="D33" s="7">
        <v>16.100000000000001</v>
      </c>
      <c r="E33" s="7">
        <v>16.100000000000001</v>
      </c>
      <c r="F33" s="7">
        <v>16.100000000000001</v>
      </c>
      <c r="G33" s="7">
        <v>16.100000000000001</v>
      </c>
      <c r="H33" s="7">
        <v>16.100000000000001</v>
      </c>
      <c r="I33" s="7">
        <v>16.100000000000001</v>
      </c>
      <c r="J33" s="8">
        <v>16.100000000000001</v>
      </c>
    </row>
    <row r="34" spans="2:10" ht="17.100000000000001" customHeight="1" x14ac:dyDescent="0.15">
      <c r="B34" s="6" t="s">
        <v>20</v>
      </c>
      <c r="C34" s="7">
        <f>C33+273.15</f>
        <v>289.25</v>
      </c>
      <c r="D34" s="7">
        <f t="shared" ref="D34:J34" si="3">D33+273.15</f>
        <v>289.25</v>
      </c>
      <c r="E34" s="7">
        <f t="shared" si="3"/>
        <v>289.25</v>
      </c>
      <c r="F34" s="7">
        <f t="shared" si="3"/>
        <v>289.25</v>
      </c>
      <c r="G34" s="7">
        <f t="shared" si="3"/>
        <v>289.25</v>
      </c>
      <c r="H34" s="7">
        <f t="shared" si="3"/>
        <v>289.25</v>
      </c>
      <c r="I34" s="7">
        <f t="shared" si="3"/>
        <v>289.25</v>
      </c>
      <c r="J34" s="8">
        <f t="shared" si="3"/>
        <v>289.25</v>
      </c>
    </row>
    <row r="35" spans="2:10" ht="17.100000000000001" customHeight="1" x14ac:dyDescent="0.15">
      <c r="B35" s="6" t="s">
        <v>29</v>
      </c>
      <c r="C35" s="7">
        <f>(C31+C33)/2</f>
        <v>50.55</v>
      </c>
      <c r="D35" s="7">
        <f t="shared" ref="D35:J35" si="4">(D31+D33)/2</f>
        <v>49.55</v>
      </c>
      <c r="E35" s="7">
        <f t="shared" si="4"/>
        <v>40.700000000000003</v>
      </c>
      <c r="F35" s="7">
        <f t="shared" si="4"/>
        <v>41.849999999999994</v>
      </c>
      <c r="G35" s="7">
        <f t="shared" si="4"/>
        <v>25.1</v>
      </c>
      <c r="H35" s="7">
        <f t="shared" si="4"/>
        <v>19.950000000000003</v>
      </c>
      <c r="I35" s="7">
        <f t="shared" si="4"/>
        <v>25.45</v>
      </c>
      <c r="J35" s="8">
        <f t="shared" si="4"/>
        <v>67.05</v>
      </c>
    </row>
    <row r="36" spans="2:10" ht="17.100000000000001" customHeight="1" x14ac:dyDescent="0.15">
      <c r="B36" s="6" t="s">
        <v>30</v>
      </c>
      <c r="C36" s="7">
        <f>C35+273.15</f>
        <v>323.7</v>
      </c>
      <c r="D36" s="7">
        <f t="shared" ref="D36:J36" si="5">D35+273.15</f>
        <v>322.7</v>
      </c>
      <c r="E36" s="7">
        <f t="shared" si="5"/>
        <v>313.84999999999997</v>
      </c>
      <c r="F36" s="7">
        <f t="shared" si="5"/>
        <v>315</v>
      </c>
      <c r="G36" s="7">
        <f t="shared" si="5"/>
        <v>298.25</v>
      </c>
      <c r="H36" s="7">
        <f t="shared" si="5"/>
        <v>293.09999999999997</v>
      </c>
      <c r="I36" s="7">
        <f t="shared" si="5"/>
        <v>298.59999999999997</v>
      </c>
      <c r="J36" s="8">
        <f t="shared" si="5"/>
        <v>340.2</v>
      </c>
    </row>
    <row r="37" spans="2:10" ht="17.100000000000001" customHeight="1" x14ac:dyDescent="0.15">
      <c r="B37" s="12" t="s">
        <v>31</v>
      </c>
      <c r="C37" s="13">
        <v>2.8299999999999999E-2</v>
      </c>
      <c r="D37" s="13">
        <v>2.8299999999999999E-2</v>
      </c>
      <c r="E37" s="13">
        <v>2.76E-2</v>
      </c>
      <c r="F37" s="13">
        <v>2.7699999999999999E-2</v>
      </c>
      <c r="G37" s="13">
        <v>2.63E-2</v>
      </c>
      <c r="H37" s="13">
        <v>2.5899999999999999E-2</v>
      </c>
      <c r="I37" s="13">
        <v>2.63E-2</v>
      </c>
      <c r="J37" s="14">
        <v>2.9399999999999999E-2</v>
      </c>
    </row>
    <row r="38" spans="2:10" ht="17.100000000000001" customHeight="1" x14ac:dyDescent="0.15">
      <c r="B38" s="12" t="s">
        <v>32</v>
      </c>
      <c r="C38" s="13">
        <v>1.80061E-5</v>
      </c>
      <c r="D38" s="13">
        <v>1.7949999999999999E-5</v>
      </c>
      <c r="E38" s="13">
        <v>1.696E-5</v>
      </c>
      <c r="F38" s="13">
        <v>1.7139999999999999E-5</v>
      </c>
      <c r="G38" s="13">
        <v>1.5529999999999999E-5</v>
      </c>
      <c r="H38" s="13">
        <v>1.506E-5</v>
      </c>
      <c r="I38" s="13">
        <v>1.5500000000000001E-5</v>
      </c>
      <c r="J38" s="14">
        <v>1.9700000000000001E-5</v>
      </c>
    </row>
    <row r="39" spans="2:10" ht="17.100000000000001" customHeight="1" x14ac:dyDescent="0.15">
      <c r="B39" s="12" t="s">
        <v>33</v>
      </c>
      <c r="C39" s="15">
        <f>1/C36</f>
        <v>3.0892801977139327E-3</v>
      </c>
      <c r="D39" s="15">
        <f t="shared" ref="D39:J39" si="6">1/D36</f>
        <v>3.0988534242330341E-3</v>
      </c>
      <c r="E39" s="15">
        <f t="shared" si="6"/>
        <v>3.1862354628007013E-3</v>
      </c>
      <c r="F39" s="15">
        <f t="shared" si="6"/>
        <v>3.1746031746031746E-3</v>
      </c>
      <c r="G39" s="15">
        <f t="shared" si="6"/>
        <v>3.3528918692372171E-3</v>
      </c>
      <c r="H39" s="15">
        <f t="shared" si="6"/>
        <v>3.4118048447628799E-3</v>
      </c>
      <c r="I39" s="15">
        <f t="shared" si="6"/>
        <v>3.3489618218352315E-3</v>
      </c>
      <c r="J39" s="16">
        <f t="shared" si="6"/>
        <v>2.9394473838918285E-3</v>
      </c>
    </row>
    <row r="40" spans="2:10" ht="17.100000000000001" customHeight="1" x14ac:dyDescent="0.15">
      <c r="B40" s="6" t="s">
        <v>35</v>
      </c>
      <c r="C40" s="7">
        <v>0.69799999999999995</v>
      </c>
      <c r="D40" s="7">
        <v>0.69799999999999995</v>
      </c>
      <c r="E40" s="7">
        <v>0.69899999999999995</v>
      </c>
      <c r="F40" s="7">
        <v>0.69899999999999995</v>
      </c>
      <c r="G40" s="7">
        <v>0.70199999999999996</v>
      </c>
      <c r="H40" s="7">
        <v>0.70299999999999996</v>
      </c>
      <c r="I40" s="7">
        <v>0.70199999999999996</v>
      </c>
      <c r="J40" s="8">
        <v>0.69499999999999995</v>
      </c>
    </row>
    <row r="41" spans="2:10" ht="17.100000000000001" customHeight="1" x14ac:dyDescent="0.15">
      <c r="B41" s="6" t="s">
        <v>9</v>
      </c>
      <c r="C41" s="7">
        <v>4.335</v>
      </c>
      <c r="D41" s="7">
        <v>13.613</v>
      </c>
      <c r="E41" s="7">
        <v>13.369</v>
      </c>
      <c r="F41" s="7">
        <v>12.1</v>
      </c>
      <c r="G41" s="7">
        <v>23.443999999999999</v>
      </c>
      <c r="H41" s="7">
        <v>4.4550000000000001</v>
      </c>
      <c r="I41" s="7">
        <v>7.4870000000000001</v>
      </c>
      <c r="J41" s="8">
        <v>26.49</v>
      </c>
    </row>
    <row r="42" spans="2:10" ht="17.100000000000001" customHeight="1" x14ac:dyDescent="0.15">
      <c r="B42" s="6" t="s">
        <v>10</v>
      </c>
      <c r="C42" s="7">
        <v>60.576000000000001</v>
      </c>
      <c r="D42" s="7">
        <v>60.51</v>
      </c>
      <c r="E42" s="7">
        <v>60.19</v>
      </c>
      <c r="F42" s="7">
        <v>60.536999999999999</v>
      </c>
      <c r="G42" s="7">
        <v>12.448</v>
      </c>
      <c r="H42" s="7">
        <v>12.430999999999999</v>
      </c>
      <c r="I42" s="7">
        <v>12.417999999999999</v>
      </c>
      <c r="J42" s="8">
        <v>187.15</v>
      </c>
    </row>
    <row r="43" spans="2:10" ht="17.100000000000001" customHeight="1" x14ac:dyDescent="0.15">
      <c r="B43" s="6" t="s">
        <v>18</v>
      </c>
      <c r="C43" s="17">
        <f>C41*C42/C14/1000</f>
        <v>26.259696000000005</v>
      </c>
      <c r="D43" s="17">
        <f t="shared" ref="D43:J43" si="7">D41*D42/D14/1000</f>
        <v>82.37226299999999</v>
      </c>
      <c r="E43" s="17">
        <f t="shared" si="7"/>
        <v>80.46801099999999</v>
      </c>
      <c r="F43" s="17">
        <f t="shared" si="7"/>
        <v>73.249769999999998</v>
      </c>
      <c r="G43" s="17">
        <f t="shared" si="7"/>
        <v>2.91830912</v>
      </c>
      <c r="H43" s="17">
        <f t="shared" si="7"/>
        <v>5.5380105000000004</v>
      </c>
      <c r="I43" s="17">
        <f t="shared" si="7"/>
        <v>9.2973565999999987</v>
      </c>
      <c r="J43" s="18">
        <f t="shared" si="7"/>
        <v>495.76035000000002</v>
      </c>
    </row>
    <row r="44" spans="2:10" ht="17.100000000000001" customHeight="1" x14ac:dyDescent="0.15">
      <c r="B44" s="6" t="s">
        <v>25</v>
      </c>
      <c r="C44" s="15">
        <f>PI()*C15*C16/1000000</f>
        <v>3.3426545834195402E-2</v>
      </c>
      <c r="D44" s="15">
        <f t="shared" ref="D44:J44" si="8">PI()*D15*D16/1000000</f>
        <v>0.14206281979533045</v>
      </c>
      <c r="E44" s="15">
        <f t="shared" si="8"/>
        <v>0.22462387473167023</v>
      </c>
      <c r="F44" s="15">
        <f t="shared" si="8"/>
        <v>0.12063715789784805</v>
      </c>
      <c r="G44" s="15">
        <f t="shared" si="8"/>
        <v>1.6336281798666925E-2</v>
      </c>
      <c r="H44" s="15">
        <f t="shared" si="8"/>
        <v>2.4818581963359367E-2</v>
      </c>
      <c r="I44" s="15">
        <f t="shared" si="8"/>
        <v>5.9690260418206076E-2</v>
      </c>
      <c r="J44" s="16">
        <f t="shared" si="8"/>
        <v>0.61642571756852904</v>
      </c>
    </row>
    <row r="45" spans="2:10" ht="17.100000000000001" customHeight="1" x14ac:dyDescent="0.15">
      <c r="B45" s="6" t="s">
        <v>28</v>
      </c>
      <c r="C45" s="10">
        <f>C17*C19*C44*(C32*C32*C32*C32-C34*C34*C34*C34)/100000000</f>
        <v>1.4333861879635508</v>
      </c>
      <c r="D45" s="10">
        <f t="shared" ref="D45:J45" si="9">D17*D19*D44*(D32*D32*D32*D32-D34*D34*D34*D34)/100000000</f>
        <v>5.8570368282346426</v>
      </c>
      <c r="E45" s="10">
        <f t="shared" si="9"/>
        <v>6.237067452597377</v>
      </c>
      <c r="F45" s="10">
        <f t="shared" si="9"/>
        <v>3.5468719228587897</v>
      </c>
      <c r="G45" s="10">
        <f t="shared" si="9"/>
        <v>0.14167571107812632</v>
      </c>
      <c r="H45" s="10">
        <f t="shared" si="9"/>
        <v>8.7321886252675368E-2</v>
      </c>
      <c r="I45" s="10">
        <f t="shared" si="9"/>
        <v>0.5397257528350361</v>
      </c>
      <c r="J45" s="11">
        <f t="shared" si="9"/>
        <v>45.880091325521867</v>
      </c>
    </row>
    <row r="46" spans="2:10" ht="17.100000000000001" customHeight="1" x14ac:dyDescent="0.15">
      <c r="B46" s="6" t="s">
        <v>26</v>
      </c>
      <c r="C46" s="10">
        <f>(C43-C45)/(C44*(C31-C33))</f>
        <v>10.77957027542484</v>
      </c>
      <c r="D46" s="10">
        <f t="shared" ref="D46:J46" si="10">(D43-D45)/(D44*(D31-D33))</f>
        <v>8.050842264610889</v>
      </c>
      <c r="E46" s="10">
        <f t="shared" si="10"/>
        <v>6.7168239217377668</v>
      </c>
      <c r="F46" s="10">
        <f t="shared" si="10"/>
        <v>11.219215995962372</v>
      </c>
      <c r="G46" s="10">
        <f t="shared" si="10"/>
        <v>9.4426267560687211</v>
      </c>
      <c r="H46" s="10">
        <f t="shared" si="10"/>
        <v>28.522243502633486</v>
      </c>
      <c r="I46" s="10">
        <f t="shared" si="10"/>
        <v>7.845878069802235</v>
      </c>
      <c r="J46" s="11">
        <f t="shared" si="10"/>
        <v>7.1621267535927631</v>
      </c>
    </row>
    <row r="47" spans="2:10" ht="17.100000000000001" customHeight="1" x14ac:dyDescent="0.15">
      <c r="B47" s="6" t="s">
        <v>27</v>
      </c>
      <c r="C47" s="10">
        <f>C43/(C44*(C31-C33))</f>
        <v>11.401945781972543</v>
      </c>
      <c r="D47" s="10">
        <f t="shared" ref="D47:J47" si="11">D43/(D44*(D31-D33))</f>
        <v>8.6671128031868339</v>
      </c>
      <c r="E47" s="10">
        <f t="shared" si="11"/>
        <v>7.2811880785849148</v>
      </c>
      <c r="F47" s="10">
        <f t="shared" si="11"/>
        <v>11.790112232852371</v>
      </c>
      <c r="G47" s="10">
        <f t="shared" si="11"/>
        <v>9.9244299555162208</v>
      </c>
      <c r="H47" s="10">
        <f t="shared" si="11"/>
        <v>28.979179548572052</v>
      </c>
      <c r="I47" s="10">
        <f t="shared" si="11"/>
        <v>8.3294132315117224</v>
      </c>
      <c r="J47" s="11">
        <f t="shared" si="11"/>
        <v>7.8925411765505062</v>
      </c>
    </row>
    <row r="48" spans="2:10" ht="26.25" customHeight="1" x14ac:dyDescent="0.15">
      <c r="B48" s="19" t="s">
        <v>41</v>
      </c>
      <c r="C48" s="10">
        <f>-(C46-C47)/C46*100</f>
        <v>5.7736578606161038</v>
      </c>
      <c r="D48" s="10">
        <f t="shared" ref="D48:J48" si="12">-(D46-D47)/D46*100</f>
        <v>7.6547337324553864</v>
      </c>
      <c r="E48" s="10">
        <f t="shared" si="12"/>
        <v>8.4022473035311691</v>
      </c>
      <c r="F48" s="10">
        <f t="shared" si="12"/>
        <v>5.0885573207205885</v>
      </c>
      <c r="G48" s="10">
        <f t="shared" si="12"/>
        <v>5.1024276601619087</v>
      </c>
      <c r="H48" s="10">
        <f t="shared" si="12"/>
        <v>1.6020340261675987</v>
      </c>
      <c r="I48" s="10">
        <f t="shared" si="12"/>
        <v>6.1629196554882926</v>
      </c>
      <c r="J48" s="11">
        <f t="shared" si="12"/>
        <v>10.198289531686139</v>
      </c>
    </row>
    <row r="49" spans="2:10" ht="17.100000000000001" customHeight="1" x14ac:dyDescent="0.15">
      <c r="B49" s="6" t="s">
        <v>36</v>
      </c>
      <c r="C49" s="20">
        <f>C46*C15/1000/C37</f>
        <v>7.2371673227233906</v>
      </c>
      <c r="D49" s="20">
        <f t="shared" ref="D49:J49" si="13">D46*D15/1000/D37</f>
        <v>10.810318235166564</v>
      </c>
      <c r="E49" s="20">
        <f t="shared" si="13"/>
        <v>12.168159278510448</v>
      </c>
      <c r="F49" s="20">
        <f t="shared" si="13"/>
        <v>12.960827143350034</v>
      </c>
      <c r="G49" s="20">
        <f t="shared" si="13"/>
        <v>4.6674580923533604</v>
      </c>
      <c r="H49" s="20">
        <f t="shared" si="13"/>
        <v>17.399669781529308</v>
      </c>
      <c r="I49" s="20">
        <f t="shared" si="13"/>
        <v>7.4580590017131509</v>
      </c>
      <c r="J49" s="21">
        <f t="shared" si="13"/>
        <v>21.047882704435878</v>
      </c>
    </row>
    <row r="50" spans="2:10" ht="17.100000000000001" customHeight="1" x14ac:dyDescent="0.15">
      <c r="B50" s="6" t="s">
        <v>37</v>
      </c>
      <c r="C50" s="22">
        <f>C18*C39*(C31-C33)*C15*C15*C15/1000000000/C38/C38</f>
        <v>44174.029539268035</v>
      </c>
      <c r="D50" s="22">
        <f t="shared" ref="D50:J50" si="14">D18*D39*(D31-D33)*D15*D15*D15/1000000000/D38/D38</f>
        <v>346352.27431318566</v>
      </c>
      <c r="E50" s="22">
        <f t="shared" si="14"/>
        <v>668298.2045154823</v>
      </c>
      <c r="F50" s="22">
        <f t="shared" si="14"/>
        <v>178893.26167352282</v>
      </c>
      <c r="G50" s="22">
        <f t="shared" si="14"/>
        <v>5393.2208597570852</v>
      </c>
      <c r="H50" s="22">
        <f t="shared" si="14"/>
        <v>4481.9316710709954</v>
      </c>
      <c r="I50" s="22">
        <f t="shared" si="14"/>
        <v>39955.580081309017</v>
      </c>
      <c r="J50" s="23">
        <f t="shared" si="14"/>
        <v>4883347.8075998584</v>
      </c>
    </row>
    <row r="51" spans="2:10" ht="17.100000000000001" customHeight="1" x14ac:dyDescent="0.15">
      <c r="B51" s="6" t="s">
        <v>38</v>
      </c>
      <c r="C51" s="24">
        <f>C50*C40</f>
        <v>30833.472618409087</v>
      </c>
      <c r="D51" s="24">
        <f t="shared" ref="D51:J51" si="15">D50*D40</f>
        <v>241753.88747060357</v>
      </c>
      <c r="E51" s="24">
        <f t="shared" si="15"/>
        <v>467140.44495632208</v>
      </c>
      <c r="F51" s="24">
        <f t="shared" si="15"/>
        <v>125046.38990979244</v>
      </c>
      <c r="G51" s="24">
        <f t="shared" si="15"/>
        <v>3786.0410435494737</v>
      </c>
      <c r="H51" s="24">
        <f t="shared" si="15"/>
        <v>3150.7979647629095</v>
      </c>
      <c r="I51" s="24">
        <f t="shared" si="15"/>
        <v>28048.817217078929</v>
      </c>
      <c r="J51" s="25">
        <f t="shared" si="15"/>
        <v>3393926.7262819014</v>
      </c>
    </row>
    <row r="52" spans="2:10" ht="17.100000000000001" customHeight="1" x14ac:dyDescent="0.15">
      <c r="B52" s="6" t="s">
        <v>39</v>
      </c>
      <c r="C52" s="10">
        <f>LOG10(C49)</f>
        <v>0.8595686135954369</v>
      </c>
      <c r="D52" s="10">
        <f t="shared" ref="D52:J52" si="16">LOG10(D49)</f>
        <v>1.0338384789433639</v>
      </c>
      <c r="E52" s="10">
        <f t="shared" si="16"/>
        <v>1.0852248859007472</v>
      </c>
      <c r="F52" s="10">
        <f t="shared" si="16"/>
        <v>1.1126327185353322</v>
      </c>
      <c r="G52" s="10">
        <f t="shared" si="16"/>
        <v>0.66908042724427774</v>
      </c>
      <c r="H52" s="10">
        <f t="shared" si="16"/>
        <v>1.2405410061319961</v>
      </c>
      <c r="I52" s="10">
        <f t="shared" si="16"/>
        <v>0.87262581480124524</v>
      </c>
      <c r="J52" s="11">
        <f t="shared" si="16"/>
        <v>1.3232084148496823</v>
      </c>
    </row>
    <row r="53" spans="2:10" ht="17.100000000000001" customHeight="1" thickBot="1" x14ac:dyDescent="0.2">
      <c r="B53" s="26" t="s">
        <v>40</v>
      </c>
      <c r="C53" s="27">
        <f>LOG10(C51)</f>
        <v>4.4890224398767709</v>
      </c>
      <c r="D53" s="27">
        <f t="shared" ref="D53:J53" si="17">LOG10(D51)</f>
        <v>5.3833734663887824</v>
      </c>
      <c r="E53" s="27">
        <f t="shared" si="17"/>
        <v>5.6694474700729272</v>
      </c>
      <c r="F53" s="27">
        <f t="shared" si="17"/>
        <v>5.0970711581625796</v>
      </c>
      <c r="G53" s="27">
        <f t="shared" si="17"/>
        <v>3.5781853177340737</v>
      </c>
      <c r="H53" s="27">
        <f t="shared" si="17"/>
        <v>3.4984205562677233</v>
      </c>
      <c r="I53" s="27">
        <f t="shared" si="17"/>
        <v>4.4479145523327759</v>
      </c>
      <c r="J53" s="28">
        <f t="shared" si="17"/>
        <v>6.5307024618134326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2013-12-12T17:51:39Z</dcterms:modified>
</cp:coreProperties>
</file>