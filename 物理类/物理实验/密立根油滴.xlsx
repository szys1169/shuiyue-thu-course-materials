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114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315"/>
</workbook>
</file>

<file path=xl/calcChain.xml><?xml version="1.0" encoding="utf-8"?>
<calcChain xmlns="http://schemas.openxmlformats.org/spreadsheetml/2006/main">
  <c r="E12" i="1" l="1"/>
  <c r="D12" i="1"/>
  <c r="C12" i="1" l="1"/>
</calcChain>
</file>

<file path=xl/sharedStrings.xml><?xml version="1.0" encoding="utf-8"?>
<sst xmlns="http://schemas.openxmlformats.org/spreadsheetml/2006/main" count="8" uniqueCount="8">
  <si>
    <t>密立根油滴实验数据处理</t>
    <phoneticPr fontId="1" type="noConversion"/>
  </si>
  <si>
    <t>油滴序号</t>
    <phoneticPr fontId="1" type="noConversion"/>
  </si>
  <si>
    <t>电荷q</t>
    <phoneticPr fontId="1" type="noConversion"/>
  </si>
  <si>
    <t>电子数n</t>
    <phoneticPr fontId="1" type="noConversion"/>
  </si>
  <si>
    <t>拟合直线的斜率</t>
    <phoneticPr fontId="1" type="noConversion"/>
  </si>
  <si>
    <t>理论值</t>
    <phoneticPr fontId="1" type="noConversion"/>
  </si>
  <si>
    <t>相对误差</t>
    <phoneticPr fontId="1" type="noConversion"/>
  </si>
  <si>
    <t>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</si>
</sst>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2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trendline>
            <c:trendlineType val="linear"/>
            <c:dispRSqr val="0"/>
            <c:dispEq val="0"/>
          </c:trendline>
          <c:xVal>
            <c:numRef>
              <c:f>Sheet1!$D$6:$D$10</c:f>
              <c:numCache>
                <c:formatCode>General</c:formatCode>
                <c:ptCount val="5"/>
                <c:pt idx="0">
                  <c:v>12</c:v>
                </c:pt>
                <c:pt idx="1">
                  <c:v>5</c:v>
                </c:pt>
                <c:pt idx="2">
                  <c:v>30</c:v>
                </c:pt>
                <c:pt idx="3">
                  <c:v>23</c:v>
                </c:pt>
                <c:pt idx="4">
                  <c:v>9</c:v>
                </c:pt>
              </c:numCache>
            </c:numRef>
          </c:xVal>
          <c:yVal>
            <c:numRef>
              <c:f>Sheet1!$E$6:$E$10</c:f>
              <c:numCache>
                <c:formatCode>0.00E+00</c:formatCode>
                <c:ptCount val="5"/>
                <c:pt idx="0">
                  <c:v>1.9200000000000002E-18</c:v>
                </c:pt>
                <c:pt idx="1">
                  <c:v>8.1300000000000003E-19</c:v>
                </c:pt>
                <c:pt idx="2">
                  <c:v>4.7600000000000001E-18</c:v>
                </c:pt>
                <c:pt idx="3">
                  <c:v>3.7300000000000002E-18</c:v>
                </c:pt>
                <c:pt idx="4">
                  <c:v>1.41E-18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90080"/>
        <c:axId val="52591616"/>
      </c:scatterChart>
      <c:valAx>
        <c:axId val="525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2591616"/>
        <c:crosses val="autoZero"/>
        <c:crossBetween val="midCat"/>
      </c:valAx>
      <c:valAx>
        <c:axId val="52591616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525900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12</xdr:row>
      <xdr:rowOff>33337</xdr:rowOff>
    </xdr:from>
    <xdr:to>
      <xdr:col>8</xdr:col>
      <xdr:colOff>152400</xdr:colOff>
      <xdr:row>28</xdr:row>
      <xdr:rowOff>33337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xmlns:mc="http://schemas.openxmlformats.org/markup-compatibility/2006" xmlns:a14="http://schemas.microsoft.com/office/drawing/2010/main" val="1F497D" mc:Ignorable=""/>
      </a:dk2>
      <a:lt2>
        <a:srgbClr xmlns:mc="http://schemas.openxmlformats.org/markup-compatibility/2006" xmlns:a14="http://schemas.microsoft.com/office/drawing/2010/main" val="EEECE1" mc:Ignorable=""/>
      </a:lt2>
      <a:accent1>
        <a:srgbClr xmlns:mc="http://schemas.openxmlformats.org/markup-compatibility/2006" xmlns:a14="http://schemas.microsoft.com/office/drawing/2010/main" val="4F81BD" mc:Ignorable=""/>
      </a:accent1>
      <a:accent2>
        <a:srgbClr xmlns:mc="http://schemas.openxmlformats.org/markup-compatibility/2006" xmlns:a14="http://schemas.microsoft.com/office/drawing/2010/main" val="C0504D" mc:Ignorable=""/>
      </a:accent2>
      <a:accent3>
        <a:srgbClr xmlns:mc="http://schemas.openxmlformats.org/markup-compatibility/2006" xmlns:a14="http://schemas.microsoft.com/office/drawing/2010/main" val="9BBB59" mc:Ignorable=""/>
      </a:accent3>
      <a:accent4>
        <a:srgbClr xmlns:mc="http://schemas.openxmlformats.org/markup-compatibility/2006" xmlns:a14="http://schemas.microsoft.com/office/drawing/2010/main" val="8064A2" mc:Ignorable=""/>
      </a:accent4>
      <a:accent5>
        <a:srgbClr xmlns:mc="http://schemas.openxmlformats.org/markup-compatibility/2006" xmlns:a14="http://schemas.microsoft.com/office/drawing/2010/main" val="4BACC6" mc:Ignorable=""/>
      </a:accent5>
      <a:accent6>
        <a:srgbClr xmlns:mc="http://schemas.openxmlformats.org/markup-compatibility/2006" xmlns:a14="http://schemas.microsoft.com/office/drawing/2010/main" val="F79646" mc:Ignorable=""/>
      </a:accent6>
      <a:hlink>
        <a:srgbClr xmlns:mc="http://schemas.openxmlformats.org/markup-compatibility/2006" xmlns:a14="http://schemas.microsoft.com/office/drawing/2010/main" val="0000FF" mc:Ignorable=""/>
      </a:hlink>
      <a:folHlink>
        <a:srgbClr xmlns:mc="http://schemas.openxmlformats.org/markup-compatibility/2006" xmlns:a14="http://schemas.microsoft.com/office/drawing/2010/main" val="800080" mc:Ignorable="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xmlns:mc="http://schemas.openxmlformats.org/markup-compatibility/2006" xmlns:a14="http://schemas.microsoft.com/office/drawing/2010/main" val="000000" mc:Ignorable="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12"/>
  <sheetViews>
    <sheetView tabSelected="1" workbookViewId="0">
      <selection activeCell="J16" sqref="J16"/>
    </sheetView>
  </sheetViews>
  <sheetFormatPr defaultRowHeight="13.5" x14ac:dyDescent="0.15"/>
  <cols>
    <col min="3" max="3" width="15" customWidth="1"/>
    <col min="5" max="5" width="9.5" bestFit="1" customWidth="1"/>
  </cols>
  <sheetData>
    <row r="1" spans="3:9" x14ac:dyDescent="0.15">
      <c r="D1" s="2" t="s">
        <v>0</v>
      </c>
      <c r="E1" s="3"/>
      <c r="F1" s="3"/>
      <c r="G1" s="3"/>
      <c r="H1" s="3"/>
      <c r="I1" s="3"/>
    </row>
    <row r="2" spans="3:9" x14ac:dyDescent="0.15">
      <c r="D2" s="3"/>
      <c r="E2" s="3"/>
      <c r="F2" s="3"/>
      <c r="G2" s="3"/>
      <c r="H2" s="3"/>
      <c r="I2" s="3"/>
    </row>
    <row r="3" spans="3:9" x14ac:dyDescent="0.15">
      <c r="D3" s="3"/>
      <c r="E3" s="3"/>
      <c r="F3" s="3"/>
      <c r="G3" s="3"/>
      <c r="H3" s="3"/>
      <c r="I3" s="3"/>
    </row>
    <row r="5" spans="3:9" x14ac:dyDescent="0.15">
      <c r="C5" t="s">
        <v>1</v>
      </c>
      <c r="D5" t="s">
        <v>3</v>
      </c>
      <c r="E5" t="s">
        <v>2</v>
      </c>
    </row>
    <row r="6" spans="3:9" x14ac:dyDescent="0.15">
      <c r="C6">
        <v>1</v>
      </c>
      <c r="D6">
        <v>12</v>
      </c>
      <c r="E6" s="1">
        <v>1.9200000000000002E-18</v>
      </c>
    </row>
    <row r="7" spans="3:9" x14ac:dyDescent="0.15">
      <c r="C7">
        <v>2</v>
      </c>
      <c r="D7">
        <v>5</v>
      </c>
      <c r="E7" s="1">
        <v>8.1300000000000003E-19</v>
      </c>
    </row>
    <row r="8" spans="3:9" x14ac:dyDescent="0.15">
      <c r="C8">
        <v>3</v>
      </c>
      <c r="D8">
        <v>30</v>
      </c>
      <c r="E8" s="1">
        <v>4.7600000000000001E-18</v>
      </c>
    </row>
    <row r="9" spans="3:9" x14ac:dyDescent="0.15">
      <c r="C9">
        <v>4</v>
      </c>
      <c r="D9">
        <v>23</v>
      </c>
      <c r="E9" s="1">
        <v>3.7300000000000002E-18</v>
      </c>
    </row>
    <row r="10" spans="3:9" x14ac:dyDescent="0.15">
      <c r="C10">
        <v>5</v>
      </c>
      <c r="D10">
        <v>9</v>
      </c>
      <c r="E10" s="1">
        <v>1.41E-18</v>
      </c>
    </row>
    <row r="11" spans="3:9" x14ac:dyDescent="0.15">
      <c r="C11" t="s">
        <v>4</v>
      </c>
      <c r="D11" t="s">
        <v>5</v>
      </c>
      <c r="E11" s="3" t="s">
        <v>6</v>
      </c>
      <c r="F11" s="3"/>
    </row>
    <row r="12" spans="3:9" x14ac:dyDescent="0.15">
      <c r="C12">
        <f>SLOPE(E6:E10,D6:D10)</f>
        <v>1.5966480965645312E-19</v>
      </c>
      <c r="D12">
        <f>1.6*10^(-19)</f>
        <v>1.6000000000000002E-19</v>
      </c>
      <c r="E12">
        <f>(D12-C12)/D12*100</f>
        <v>0.20949396471680903</v>
      </c>
      <c r="F12" t="s">
        <v>7</v>
      </c>
    </row>
  </sheetData>
  <mergeCells count="2">
    <mergeCell ref="D1:I3"/>
    <mergeCell ref="E11:F1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2010-04-03T02:35:33Z</dcterms:modified>
</cp:coreProperties>
</file>