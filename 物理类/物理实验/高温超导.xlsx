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drawings/drawing5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114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4315"/>
</workbook>
</file>

<file path=xl/calcChain.xml><?xml version="1.0" encoding="utf-8"?>
<calcChain xmlns="http://schemas.openxmlformats.org/spreadsheetml/2006/main">
  <c r="C9" i="1" l="1"/>
  <c r="C8" i="1" l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7" i="1"/>
  <c r="E5" i="1"/>
  <c r="E4" i="1"/>
</calcChain>
</file>

<file path=xl/sharedStrings.xml><?xml version="1.0" encoding="utf-8"?>
<sst xmlns="http://schemas.openxmlformats.org/spreadsheetml/2006/main" count="7" uniqueCount="7">
  <si>
    <t>高温超导实验数据处理</t>
    <phoneticPr fontId="1" type="noConversion"/>
  </si>
  <si>
    <t>运用公式</t>
    <phoneticPr fontId="1" type="noConversion"/>
  </si>
  <si>
    <t>Rt=</t>
    <phoneticPr fontId="1" type="noConversion"/>
  </si>
  <si>
    <t>100*(1+</t>
    <phoneticPr fontId="1" type="noConversion"/>
  </si>
  <si>
    <t>*t*t)</t>
    <phoneticPr fontId="1" type="noConversion"/>
  </si>
  <si>
    <t>*t-</t>
    <phoneticPr fontId="1" type="noConversion"/>
  </si>
  <si>
    <t>t/℃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</si>
</sst>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26"/>
      <color rgb="FFFF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836220472440945E-2"/>
          <c:y val="0.17122063686510963"/>
          <c:w val="0.81014386687141293"/>
          <c:h val="0.71908412843495784"/>
        </c:manualLayout>
      </c:layout>
      <c:scatterChart>
        <c:scatterStyle val="lineMarker"/>
        <c:varyColors val="0"/>
        <c:ser>
          <c:idx val="1"/>
          <c:order val="0"/>
          <c:spPr>
            <a:ln w="28575">
              <a:noFill/>
            </a:ln>
          </c:spPr>
          <c:xVal>
            <c:numRef>
              <c:f>Sheet1!$C$7:$C$46</c:f>
              <c:numCache>
                <c:formatCode>General</c:formatCode>
                <c:ptCount val="40"/>
                <c:pt idx="0">
                  <c:v>-20.408886251358432</c:v>
                </c:pt>
                <c:pt idx="1">
                  <c:v>-30.567368303163867</c:v>
                </c:pt>
                <c:pt idx="2">
                  <c:v>-40.695575188339127</c:v>
                </c:pt>
                <c:pt idx="3">
                  <c:v>-50.79377599001436</c:v>
                </c:pt>
                <c:pt idx="4">
                  <c:v>-60.862235828798305</c:v>
                </c:pt>
                <c:pt idx="5">
                  <c:v>-70.901215944000398</c:v>
                </c:pt>
                <c:pt idx="6">
                  <c:v>-80.910973772708289</c:v>
                </c:pt>
                <c:pt idx="7">
                  <c:v>-90.891763026825544</c:v>
                </c:pt>
                <c:pt idx="8">
                  <c:v>-100.84383376809342</c:v>
                </c:pt>
                <c:pt idx="9">
                  <c:v>-110.76743248120127</c:v>
                </c:pt>
                <c:pt idx="10">
                  <c:v>-130.5301823019611</c:v>
                </c:pt>
                <c:pt idx="11">
                  <c:v>-140.36980912575495</c:v>
                </c:pt>
                <c:pt idx="12">
                  <c:v>-150.18191548728512</c:v>
                </c:pt>
                <c:pt idx="13">
                  <c:v>-152.63066898574277</c:v>
                </c:pt>
                <c:pt idx="14">
                  <c:v>-155.07772037960572</c:v>
                </c:pt>
                <c:pt idx="15">
                  <c:v>-157.52307321329636</c:v>
                </c:pt>
                <c:pt idx="16">
                  <c:v>-159.96673101895382</c:v>
                </c:pt>
                <c:pt idx="17">
                  <c:v>-162.40869731649005</c:v>
                </c:pt>
                <c:pt idx="18">
                  <c:v>-164.84897561365253</c:v>
                </c:pt>
                <c:pt idx="19">
                  <c:v>-167.28756940608272</c:v>
                </c:pt>
                <c:pt idx="20">
                  <c:v>-167.77508633076783</c:v>
                </c:pt>
                <c:pt idx="21">
                  <c:v>-168.26253604245727</c:v>
                </c:pt>
                <c:pt idx="22">
                  <c:v>-168.74991856894212</c:v>
                </c:pt>
                <c:pt idx="23">
                  <c:v>-169.23723393799557</c:v>
                </c:pt>
                <c:pt idx="24">
                  <c:v>-169.72448217737133</c:v>
                </c:pt>
                <c:pt idx="25">
                  <c:v>-170.21166331480367</c:v>
                </c:pt>
                <c:pt idx="26">
                  <c:v>-170.6987773780082</c:v>
                </c:pt>
                <c:pt idx="27">
                  <c:v>-171.18582439468037</c:v>
                </c:pt>
                <c:pt idx="28">
                  <c:v>-171.6728043924991</c:v>
                </c:pt>
                <c:pt idx="29">
                  <c:v>-172.15971739912098</c:v>
                </c:pt>
                <c:pt idx="30">
                  <c:v>-172.64656344218685</c:v>
                </c:pt>
                <c:pt idx="31">
                  <c:v>-173.13334254931587</c:v>
                </c:pt>
                <c:pt idx="32">
                  <c:v>-173.62005474810931</c:v>
                </c:pt>
                <c:pt idx="33">
                  <c:v>-174.10670006615047</c:v>
                </c:pt>
                <c:pt idx="34">
                  <c:v>-175.56623501129334</c:v>
                </c:pt>
                <c:pt idx="35">
                  <c:v>-177.02516902080529</c:v>
                </c:pt>
                <c:pt idx="36">
                  <c:v>-178.48350283634753</c:v>
                </c:pt>
                <c:pt idx="37">
                  <c:v>-179.94123719805492</c:v>
                </c:pt>
                <c:pt idx="38">
                  <c:v>-180.91272744076352</c:v>
                </c:pt>
                <c:pt idx="39">
                  <c:v>-181.88395180632591</c:v>
                </c:pt>
              </c:numCache>
            </c:numRef>
          </c:xVal>
          <c:yVal>
            <c:numRef>
              <c:f>Sheet1!$A$7:$A$46</c:f>
              <c:numCache>
                <c:formatCode>General</c:formatCode>
                <c:ptCount val="40"/>
                <c:pt idx="0">
                  <c:v>0.88100000000000001</c:v>
                </c:pt>
                <c:pt idx="1">
                  <c:v>0.84499999999999997</c:v>
                </c:pt>
                <c:pt idx="2">
                  <c:v>0.81200000000000006</c:v>
                </c:pt>
                <c:pt idx="3">
                  <c:v>0.77600000000000002</c:v>
                </c:pt>
                <c:pt idx="4">
                  <c:v>0.74199999999999999</c:v>
                </c:pt>
                <c:pt idx="5">
                  <c:v>0.70499999999999996</c:v>
                </c:pt>
                <c:pt idx="6">
                  <c:v>0.66900000000000004</c:v>
                </c:pt>
                <c:pt idx="7">
                  <c:v>0.63200000000000001</c:v>
                </c:pt>
                <c:pt idx="8">
                  <c:v>0.59499999999999997</c:v>
                </c:pt>
                <c:pt idx="9">
                  <c:v>0.55700000000000005</c:v>
                </c:pt>
                <c:pt idx="10">
                  <c:v>0.47399999999999998</c:v>
                </c:pt>
                <c:pt idx="11">
                  <c:v>0.442</c:v>
                </c:pt>
                <c:pt idx="12">
                  <c:v>0.40500000000000003</c:v>
                </c:pt>
                <c:pt idx="13">
                  <c:v>0.39500000000000002</c:v>
                </c:pt>
                <c:pt idx="14">
                  <c:v>0.36499999999999999</c:v>
                </c:pt>
                <c:pt idx="15">
                  <c:v>0.376</c:v>
                </c:pt>
                <c:pt idx="16">
                  <c:v>0.36599999999999999</c:v>
                </c:pt>
                <c:pt idx="17">
                  <c:v>0.35699999999999998</c:v>
                </c:pt>
                <c:pt idx="18">
                  <c:v>0.34699999999999998</c:v>
                </c:pt>
                <c:pt idx="19">
                  <c:v>0.33700000000000002</c:v>
                </c:pt>
                <c:pt idx="20">
                  <c:v>0.33300000000000002</c:v>
                </c:pt>
                <c:pt idx="21">
                  <c:v>0.32900000000000001</c:v>
                </c:pt>
                <c:pt idx="22">
                  <c:v>0.30499999999999999</c:v>
                </c:pt>
                <c:pt idx="23">
                  <c:v>0.27500000000000002</c:v>
                </c:pt>
                <c:pt idx="24">
                  <c:v>0.23599999999999999</c:v>
                </c:pt>
                <c:pt idx="25">
                  <c:v>0.183</c:v>
                </c:pt>
                <c:pt idx="26">
                  <c:v>0.11600000000000001</c:v>
                </c:pt>
                <c:pt idx="27">
                  <c:v>8.3000000000000004E-2</c:v>
                </c:pt>
                <c:pt idx="28">
                  <c:v>0.03</c:v>
                </c:pt>
                <c:pt idx="29">
                  <c:v>0.01</c:v>
                </c:pt>
                <c:pt idx="30">
                  <c:v>2E-3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856576"/>
        <c:axId val="38377728"/>
      </c:scatterChart>
      <c:valAx>
        <c:axId val="368565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8377728"/>
        <c:crosses val="autoZero"/>
        <c:crossBetween val="midCat"/>
      </c:valAx>
      <c:valAx>
        <c:axId val="383777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685657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5930446194225721E-2"/>
          <c:y val="0.13010425780110821"/>
          <c:w val="0.87942770147494553"/>
          <c:h val="0.75391586468358118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Sheet1!$C$19:$C$46</c:f>
              <c:numCache>
                <c:formatCode>General</c:formatCode>
                <c:ptCount val="28"/>
                <c:pt idx="0">
                  <c:v>-150.18191548728512</c:v>
                </c:pt>
                <c:pt idx="1">
                  <c:v>-152.63066898574277</c:v>
                </c:pt>
                <c:pt idx="2">
                  <c:v>-155.07772037960572</c:v>
                </c:pt>
                <c:pt idx="3">
                  <c:v>-157.52307321329636</c:v>
                </c:pt>
                <c:pt idx="4">
                  <c:v>-159.96673101895382</c:v>
                </c:pt>
                <c:pt idx="5">
                  <c:v>-162.40869731649005</c:v>
                </c:pt>
                <c:pt idx="6">
                  <c:v>-164.84897561365253</c:v>
                </c:pt>
                <c:pt idx="7">
                  <c:v>-167.28756940608272</c:v>
                </c:pt>
                <c:pt idx="8">
                  <c:v>-167.77508633076783</c:v>
                </c:pt>
                <c:pt idx="9">
                  <c:v>-168.26253604245727</c:v>
                </c:pt>
                <c:pt idx="10">
                  <c:v>-168.74991856894212</c:v>
                </c:pt>
                <c:pt idx="11">
                  <c:v>-169.23723393799557</c:v>
                </c:pt>
                <c:pt idx="12">
                  <c:v>-169.72448217737133</c:v>
                </c:pt>
                <c:pt idx="13">
                  <c:v>-170.21166331480367</c:v>
                </c:pt>
                <c:pt idx="14">
                  <c:v>-170.6987773780082</c:v>
                </c:pt>
                <c:pt idx="15">
                  <c:v>-171.18582439468037</c:v>
                </c:pt>
                <c:pt idx="16">
                  <c:v>-171.6728043924991</c:v>
                </c:pt>
                <c:pt idx="17">
                  <c:v>-172.15971739912098</c:v>
                </c:pt>
                <c:pt idx="18">
                  <c:v>-172.64656344218685</c:v>
                </c:pt>
                <c:pt idx="19">
                  <c:v>-173.13334254931587</c:v>
                </c:pt>
                <c:pt idx="20">
                  <c:v>-173.62005474810931</c:v>
                </c:pt>
                <c:pt idx="21">
                  <c:v>-174.10670006615047</c:v>
                </c:pt>
                <c:pt idx="22">
                  <c:v>-175.56623501129334</c:v>
                </c:pt>
                <c:pt idx="23">
                  <c:v>-177.02516902080529</c:v>
                </c:pt>
                <c:pt idx="24">
                  <c:v>-178.48350283634753</c:v>
                </c:pt>
                <c:pt idx="25">
                  <c:v>-179.94123719805492</c:v>
                </c:pt>
                <c:pt idx="26">
                  <c:v>-180.91272744076352</c:v>
                </c:pt>
                <c:pt idx="27">
                  <c:v>-181.88395180632591</c:v>
                </c:pt>
              </c:numCache>
            </c:numRef>
          </c:xVal>
          <c:yVal>
            <c:numRef>
              <c:f>Sheet1!$A$19:$A$46</c:f>
              <c:numCache>
                <c:formatCode>General</c:formatCode>
                <c:ptCount val="28"/>
                <c:pt idx="0">
                  <c:v>0.40500000000000003</c:v>
                </c:pt>
                <c:pt idx="1">
                  <c:v>0.39500000000000002</c:v>
                </c:pt>
                <c:pt idx="2">
                  <c:v>0.36499999999999999</c:v>
                </c:pt>
                <c:pt idx="3">
                  <c:v>0.376</c:v>
                </c:pt>
                <c:pt idx="4">
                  <c:v>0.36599999999999999</c:v>
                </c:pt>
                <c:pt idx="5">
                  <c:v>0.35699999999999998</c:v>
                </c:pt>
                <c:pt idx="6">
                  <c:v>0.34699999999999998</c:v>
                </c:pt>
                <c:pt idx="7">
                  <c:v>0.33700000000000002</c:v>
                </c:pt>
                <c:pt idx="8">
                  <c:v>0.33300000000000002</c:v>
                </c:pt>
                <c:pt idx="9">
                  <c:v>0.32900000000000001</c:v>
                </c:pt>
                <c:pt idx="10">
                  <c:v>0.30499999999999999</c:v>
                </c:pt>
                <c:pt idx="11">
                  <c:v>0.27500000000000002</c:v>
                </c:pt>
                <c:pt idx="12">
                  <c:v>0.23599999999999999</c:v>
                </c:pt>
                <c:pt idx="13">
                  <c:v>0.183</c:v>
                </c:pt>
                <c:pt idx="14">
                  <c:v>0.11600000000000001</c:v>
                </c:pt>
                <c:pt idx="15">
                  <c:v>8.3000000000000004E-2</c:v>
                </c:pt>
                <c:pt idx="16">
                  <c:v>0.03</c:v>
                </c:pt>
                <c:pt idx="17">
                  <c:v>0.01</c:v>
                </c:pt>
                <c:pt idx="18">
                  <c:v>2E-3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398592"/>
        <c:axId val="52310400"/>
      </c:scatterChart>
      <c:valAx>
        <c:axId val="38398592"/>
        <c:scaling>
          <c:orientation val="minMax"/>
          <c:max val="-150"/>
          <c:min val="-190"/>
        </c:scaling>
        <c:delete val="0"/>
        <c:axPos val="b"/>
        <c:numFmt formatCode="General" sourceLinked="1"/>
        <c:majorTickMark val="out"/>
        <c:minorTickMark val="none"/>
        <c:tickLblPos val="nextTo"/>
        <c:crossAx val="52310400"/>
        <c:crosses val="autoZero"/>
        <c:crossBetween val="midCat"/>
      </c:valAx>
      <c:valAx>
        <c:axId val="523104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839859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5930446194225721E-2"/>
          <c:y val="0.13936351706036745"/>
          <c:w val="0.65816688538932633"/>
          <c:h val="0.74465660542432199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0.13119903762029747"/>
                  <c:y val="3.5634660250801982E-2"/>
                </c:manualLayout>
              </c:layout>
              <c:numFmt formatCode="General" sourceLinked="0"/>
            </c:trendlineLbl>
          </c:trendline>
          <c:xVal>
            <c:numRef>
              <c:f>Sheet1!$C$7:$C$46</c:f>
              <c:numCache>
                <c:formatCode>General</c:formatCode>
                <c:ptCount val="40"/>
                <c:pt idx="0">
                  <c:v>-20.408886251358432</c:v>
                </c:pt>
                <c:pt idx="1">
                  <c:v>-30.567368303163867</c:v>
                </c:pt>
                <c:pt idx="2">
                  <c:v>-40.695575188339127</c:v>
                </c:pt>
                <c:pt idx="3">
                  <c:v>-50.79377599001436</c:v>
                </c:pt>
                <c:pt idx="4">
                  <c:v>-60.862235828798305</c:v>
                </c:pt>
                <c:pt idx="5">
                  <c:v>-70.901215944000398</c:v>
                </c:pt>
                <c:pt idx="6">
                  <c:v>-80.910973772708289</c:v>
                </c:pt>
                <c:pt idx="7">
                  <c:v>-90.891763026825544</c:v>
                </c:pt>
                <c:pt idx="8">
                  <c:v>-100.84383376809342</c:v>
                </c:pt>
                <c:pt idx="9">
                  <c:v>-110.76743248120127</c:v>
                </c:pt>
                <c:pt idx="10">
                  <c:v>-130.5301823019611</c:v>
                </c:pt>
                <c:pt idx="11">
                  <c:v>-140.36980912575495</c:v>
                </c:pt>
                <c:pt idx="12">
                  <c:v>-150.18191548728512</c:v>
                </c:pt>
                <c:pt idx="13">
                  <c:v>-152.63066898574277</c:v>
                </c:pt>
                <c:pt idx="14">
                  <c:v>-155.07772037960572</c:v>
                </c:pt>
                <c:pt idx="15">
                  <c:v>-157.52307321329636</c:v>
                </c:pt>
                <c:pt idx="16">
                  <c:v>-159.96673101895382</c:v>
                </c:pt>
                <c:pt idx="17">
                  <c:v>-162.40869731649005</c:v>
                </c:pt>
                <c:pt idx="18">
                  <c:v>-164.84897561365253</c:v>
                </c:pt>
                <c:pt idx="19">
                  <c:v>-167.28756940608272</c:v>
                </c:pt>
                <c:pt idx="20">
                  <c:v>-167.77508633076783</c:v>
                </c:pt>
                <c:pt idx="21">
                  <c:v>-168.26253604245727</c:v>
                </c:pt>
                <c:pt idx="22">
                  <c:v>-168.74991856894212</c:v>
                </c:pt>
                <c:pt idx="23">
                  <c:v>-169.23723393799557</c:v>
                </c:pt>
                <c:pt idx="24">
                  <c:v>-169.72448217737133</c:v>
                </c:pt>
                <c:pt idx="25">
                  <c:v>-170.21166331480367</c:v>
                </c:pt>
                <c:pt idx="26">
                  <c:v>-170.6987773780082</c:v>
                </c:pt>
                <c:pt idx="27">
                  <c:v>-171.18582439468037</c:v>
                </c:pt>
                <c:pt idx="28">
                  <c:v>-171.6728043924991</c:v>
                </c:pt>
                <c:pt idx="29">
                  <c:v>-172.15971739912098</c:v>
                </c:pt>
                <c:pt idx="30">
                  <c:v>-172.64656344218685</c:v>
                </c:pt>
                <c:pt idx="31">
                  <c:v>-173.13334254931587</c:v>
                </c:pt>
                <c:pt idx="32">
                  <c:v>-173.62005474810931</c:v>
                </c:pt>
                <c:pt idx="33">
                  <c:v>-174.10670006615047</c:v>
                </c:pt>
                <c:pt idx="34">
                  <c:v>-175.56623501129334</c:v>
                </c:pt>
                <c:pt idx="35">
                  <c:v>-177.02516902080529</c:v>
                </c:pt>
                <c:pt idx="36">
                  <c:v>-178.48350283634753</c:v>
                </c:pt>
                <c:pt idx="37">
                  <c:v>-179.94123719805492</c:v>
                </c:pt>
                <c:pt idx="38">
                  <c:v>-180.91272744076352</c:v>
                </c:pt>
                <c:pt idx="39">
                  <c:v>-181.88395180632591</c:v>
                </c:pt>
              </c:numCache>
            </c:numRef>
          </c:xVal>
          <c:yVal>
            <c:numRef>
              <c:f>Sheet1!$D$7:$D$46</c:f>
              <c:numCache>
                <c:formatCode>General</c:formatCode>
                <c:ptCount val="40"/>
                <c:pt idx="0">
                  <c:v>0.65500000000000003</c:v>
                </c:pt>
                <c:pt idx="1">
                  <c:v>0.67600000000000005</c:v>
                </c:pt>
                <c:pt idx="2">
                  <c:v>0.69299999999999995</c:v>
                </c:pt>
                <c:pt idx="3">
                  <c:v>0.71199999999999997</c:v>
                </c:pt>
                <c:pt idx="4">
                  <c:v>0.73099999999999998</c:v>
                </c:pt>
                <c:pt idx="5">
                  <c:v>0.75</c:v>
                </c:pt>
                <c:pt idx="6">
                  <c:v>0.77</c:v>
                </c:pt>
                <c:pt idx="7">
                  <c:v>0.79100000000000004</c:v>
                </c:pt>
                <c:pt idx="8">
                  <c:v>0.81299999999999994</c:v>
                </c:pt>
                <c:pt idx="9">
                  <c:v>0.83399999999999996</c:v>
                </c:pt>
                <c:pt idx="10">
                  <c:v>0.88300000000000001</c:v>
                </c:pt>
                <c:pt idx="11">
                  <c:v>0.90100000000000002</c:v>
                </c:pt>
                <c:pt idx="12">
                  <c:v>0.92200000000000004</c:v>
                </c:pt>
                <c:pt idx="13">
                  <c:v>0.92800000000000005</c:v>
                </c:pt>
                <c:pt idx="14">
                  <c:v>0.93400000000000005</c:v>
                </c:pt>
                <c:pt idx="15">
                  <c:v>0.93899999999999995</c:v>
                </c:pt>
                <c:pt idx="16">
                  <c:v>0.94499999999999995</c:v>
                </c:pt>
                <c:pt idx="17">
                  <c:v>0.95099999999999996</c:v>
                </c:pt>
                <c:pt idx="18">
                  <c:v>0.95499999999999996</c:v>
                </c:pt>
                <c:pt idx="19">
                  <c:v>0.96199999999999997</c:v>
                </c:pt>
                <c:pt idx="20">
                  <c:v>0.96399999999999997</c:v>
                </c:pt>
                <c:pt idx="21">
                  <c:v>0.96499999999999997</c:v>
                </c:pt>
                <c:pt idx="22">
                  <c:v>0.96699999999999997</c:v>
                </c:pt>
                <c:pt idx="23">
                  <c:v>0.96799999999999997</c:v>
                </c:pt>
                <c:pt idx="24">
                  <c:v>0.96799999999999997</c:v>
                </c:pt>
                <c:pt idx="25">
                  <c:v>0.96899999999999997</c:v>
                </c:pt>
                <c:pt idx="26">
                  <c:v>0.96899999999999997</c:v>
                </c:pt>
                <c:pt idx="27">
                  <c:v>0.97</c:v>
                </c:pt>
                <c:pt idx="28">
                  <c:v>0.97199999999999998</c:v>
                </c:pt>
                <c:pt idx="29">
                  <c:v>0.97299999999999998</c:v>
                </c:pt>
                <c:pt idx="30">
                  <c:v>0.97399999999999998</c:v>
                </c:pt>
                <c:pt idx="31">
                  <c:v>0.97499999999999998</c:v>
                </c:pt>
                <c:pt idx="32">
                  <c:v>0.97599999999999998</c:v>
                </c:pt>
                <c:pt idx="33">
                  <c:v>0.97699999999999998</c:v>
                </c:pt>
                <c:pt idx="34">
                  <c:v>0.98</c:v>
                </c:pt>
                <c:pt idx="35">
                  <c:v>0.98199999999999998</c:v>
                </c:pt>
                <c:pt idx="36">
                  <c:v>0.98399999999999999</c:v>
                </c:pt>
                <c:pt idx="37">
                  <c:v>0.98599999999999999</c:v>
                </c:pt>
                <c:pt idx="38">
                  <c:v>0.98799999999999999</c:v>
                </c:pt>
                <c:pt idx="39">
                  <c:v>0.99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345472"/>
        <c:axId val="52347264"/>
      </c:scatterChart>
      <c:valAx>
        <c:axId val="523454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2347264"/>
        <c:crosses val="autoZero"/>
        <c:crossBetween val="midCat"/>
      </c:valAx>
      <c:valAx>
        <c:axId val="523472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234547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2951901722343882E-2"/>
          <c:y val="0.18103018372703411"/>
          <c:w val="0.84439925165726859"/>
          <c:h val="0.70298993875765525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Sheet1!$C$7:$C$46</c:f>
              <c:numCache>
                <c:formatCode>General</c:formatCode>
                <c:ptCount val="40"/>
                <c:pt idx="0">
                  <c:v>-20.408886251358432</c:v>
                </c:pt>
                <c:pt idx="1">
                  <c:v>-30.567368303163867</c:v>
                </c:pt>
                <c:pt idx="2">
                  <c:v>-40.695575188339127</c:v>
                </c:pt>
                <c:pt idx="3">
                  <c:v>-50.79377599001436</c:v>
                </c:pt>
                <c:pt idx="4">
                  <c:v>-60.862235828798305</c:v>
                </c:pt>
                <c:pt idx="5">
                  <c:v>-70.901215944000398</c:v>
                </c:pt>
                <c:pt idx="6">
                  <c:v>-80.910973772708289</c:v>
                </c:pt>
                <c:pt idx="7">
                  <c:v>-90.891763026825544</c:v>
                </c:pt>
                <c:pt idx="8">
                  <c:v>-100.84383376809342</c:v>
                </c:pt>
                <c:pt idx="9">
                  <c:v>-110.76743248120127</c:v>
                </c:pt>
                <c:pt idx="10">
                  <c:v>-130.5301823019611</c:v>
                </c:pt>
                <c:pt idx="11">
                  <c:v>-140.36980912575495</c:v>
                </c:pt>
                <c:pt idx="12">
                  <c:v>-150.18191548728512</c:v>
                </c:pt>
                <c:pt idx="13">
                  <c:v>-152.63066898574277</c:v>
                </c:pt>
                <c:pt idx="14">
                  <c:v>-155.07772037960572</c:v>
                </c:pt>
                <c:pt idx="15">
                  <c:v>-157.52307321329636</c:v>
                </c:pt>
                <c:pt idx="16">
                  <c:v>-159.96673101895382</c:v>
                </c:pt>
                <c:pt idx="17">
                  <c:v>-162.40869731649005</c:v>
                </c:pt>
                <c:pt idx="18">
                  <c:v>-164.84897561365253</c:v>
                </c:pt>
                <c:pt idx="19">
                  <c:v>-167.28756940608272</c:v>
                </c:pt>
                <c:pt idx="20">
                  <c:v>-167.77508633076783</c:v>
                </c:pt>
                <c:pt idx="21">
                  <c:v>-168.26253604245727</c:v>
                </c:pt>
                <c:pt idx="22">
                  <c:v>-168.74991856894212</c:v>
                </c:pt>
                <c:pt idx="23">
                  <c:v>-169.23723393799557</c:v>
                </c:pt>
                <c:pt idx="24">
                  <c:v>-169.72448217737133</c:v>
                </c:pt>
                <c:pt idx="25">
                  <c:v>-170.21166331480367</c:v>
                </c:pt>
                <c:pt idx="26">
                  <c:v>-170.6987773780082</c:v>
                </c:pt>
                <c:pt idx="27">
                  <c:v>-171.18582439468037</c:v>
                </c:pt>
                <c:pt idx="28">
                  <c:v>-171.6728043924991</c:v>
                </c:pt>
                <c:pt idx="29">
                  <c:v>-172.15971739912098</c:v>
                </c:pt>
                <c:pt idx="30">
                  <c:v>-172.64656344218685</c:v>
                </c:pt>
                <c:pt idx="31">
                  <c:v>-173.13334254931587</c:v>
                </c:pt>
                <c:pt idx="32">
                  <c:v>-173.62005474810931</c:v>
                </c:pt>
                <c:pt idx="33">
                  <c:v>-174.10670006615047</c:v>
                </c:pt>
                <c:pt idx="34">
                  <c:v>-175.56623501129334</c:v>
                </c:pt>
                <c:pt idx="35">
                  <c:v>-177.02516902080529</c:v>
                </c:pt>
                <c:pt idx="36">
                  <c:v>-178.48350283634753</c:v>
                </c:pt>
                <c:pt idx="37">
                  <c:v>-179.94123719805492</c:v>
                </c:pt>
                <c:pt idx="38">
                  <c:v>-180.91272744076352</c:v>
                </c:pt>
                <c:pt idx="39">
                  <c:v>-181.88395180632591</c:v>
                </c:pt>
              </c:numCache>
            </c:numRef>
          </c:xVal>
          <c:yVal>
            <c:numRef>
              <c:f>Sheet1!$E$7:$E$46</c:f>
              <c:numCache>
                <c:formatCode>General</c:formatCode>
                <c:ptCount val="40"/>
                <c:pt idx="0">
                  <c:v>4.96</c:v>
                </c:pt>
                <c:pt idx="1">
                  <c:v>5.08</c:v>
                </c:pt>
                <c:pt idx="2">
                  <c:v>5.22</c:v>
                </c:pt>
                <c:pt idx="3">
                  <c:v>5.37</c:v>
                </c:pt>
                <c:pt idx="4">
                  <c:v>5.55</c:v>
                </c:pt>
                <c:pt idx="5">
                  <c:v>5.73</c:v>
                </c:pt>
                <c:pt idx="6">
                  <c:v>5.92</c:v>
                </c:pt>
                <c:pt idx="7">
                  <c:v>6.15</c:v>
                </c:pt>
                <c:pt idx="8">
                  <c:v>6.38</c:v>
                </c:pt>
                <c:pt idx="9">
                  <c:v>6.63</c:v>
                </c:pt>
                <c:pt idx="10">
                  <c:v>7.21</c:v>
                </c:pt>
                <c:pt idx="11">
                  <c:v>7.43</c:v>
                </c:pt>
                <c:pt idx="12">
                  <c:v>7.78</c:v>
                </c:pt>
                <c:pt idx="13">
                  <c:v>7.88</c:v>
                </c:pt>
                <c:pt idx="14">
                  <c:v>7.98</c:v>
                </c:pt>
                <c:pt idx="15">
                  <c:v>8.07</c:v>
                </c:pt>
                <c:pt idx="16">
                  <c:v>8.17</c:v>
                </c:pt>
                <c:pt idx="17">
                  <c:v>8.26</c:v>
                </c:pt>
                <c:pt idx="18">
                  <c:v>8.36</c:v>
                </c:pt>
                <c:pt idx="19">
                  <c:v>8.44</c:v>
                </c:pt>
                <c:pt idx="20">
                  <c:v>7.71</c:v>
                </c:pt>
                <c:pt idx="21">
                  <c:v>6.71</c:v>
                </c:pt>
                <c:pt idx="22">
                  <c:v>5.84</c:v>
                </c:pt>
                <c:pt idx="23">
                  <c:v>5.66</c:v>
                </c:pt>
                <c:pt idx="24">
                  <c:v>5.52</c:v>
                </c:pt>
                <c:pt idx="25">
                  <c:v>5.4</c:v>
                </c:pt>
                <c:pt idx="26">
                  <c:v>5.32</c:v>
                </c:pt>
                <c:pt idx="27">
                  <c:v>5.22</c:v>
                </c:pt>
                <c:pt idx="28">
                  <c:v>5.15</c:v>
                </c:pt>
                <c:pt idx="29">
                  <c:v>5.07</c:v>
                </c:pt>
                <c:pt idx="30">
                  <c:v>4.91</c:v>
                </c:pt>
                <c:pt idx="31">
                  <c:v>4.82</c:v>
                </c:pt>
                <c:pt idx="32">
                  <c:v>4.8</c:v>
                </c:pt>
                <c:pt idx="33">
                  <c:v>4.79</c:v>
                </c:pt>
                <c:pt idx="34">
                  <c:v>4.78</c:v>
                </c:pt>
                <c:pt idx="35">
                  <c:v>4.78</c:v>
                </c:pt>
                <c:pt idx="36">
                  <c:v>4.78</c:v>
                </c:pt>
                <c:pt idx="37">
                  <c:v>4.78</c:v>
                </c:pt>
                <c:pt idx="38">
                  <c:v>4.79</c:v>
                </c:pt>
                <c:pt idx="39">
                  <c:v>4.82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372608"/>
        <c:axId val="52374144"/>
      </c:scatterChart>
      <c:valAx>
        <c:axId val="523726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2374144"/>
        <c:crosses val="autoZero"/>
        <c:crossBetween val="midCat"/>
      </c:valAx>
      <c:valAx>
        <c:axId val="523741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237260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.xml"/><Relationship Id="rId3" Type="http://schemas.openxmlformats.org/officeDocument/2006/relationships/image" Target="../media/image3.png"/><Relationship Id="rId7" Type="http://schemas.openxmlformats.org/officeDocument/2006/relationships/chart" Target="../charts/chart3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2.xml"/><Relationship Id="rId5" Type="http://schemas.openxmlformats.org/officeDocument/2006/relationships/chart" Target="../charts/chart1.xml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5</xdr:row>
      <xdr:rowOff>19050</xdr:rowOff>
    </xdr:from>
    <xdr:to>
      <xdr:col>0</xdr:col>
      <xdr:colOff>552450</xdr:colOff>
      <xdr:row>5</xdr:row>
      <xdr:rowOff>255443</xdr:rowOff>
    </xdr:to>
    <xdr:pic>
      <xdr:nvPicPr>
        <xdr:cNvPr id="3" name="图片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xmlns:mc="http://schemas.openxmlformats.org/markup-compatibility/2006" xmlns:a14="http://schemas.microsoft.com/office/drawing/2010/main" val="FFFFFF" mc:Ignorable=""/>
            </a:clrFrom>
            <a:clrTo>
              <a:srgbClr xmlns:mc="http://schemas.openxmlformats.org/markup-compatibility/2006" xmlns:a14="http://schemas.microsoft.com/office/drawing/2010/main" val="FFFFFF" mc:Ignorable="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876300"/>
          <a:ext cx="495300" cy="2363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85725</xdr:colOff>
      <xdr:row>5</xdr:row>
      <xdr:rowOff>38101</xdr:rowOff>
    </xdr:from>
    <xdr:to>
      <xdr:col>1</xdr:col>
      <xdr:colOff>639989</xdr:colOff>
      <xdr:row>6</xdr:row>
      <xdr:rowOff>1</xdr:rowOff>
    </xdr:to>
    <xdr:pic>
      <xdr:nvPicPr>
        <xdr:cNvPr id="4" name="图片 3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xmlns:mc="http://schemas.openxmlformats.org/markup-compatibility/2006" xmlns:a14="http://schemas.microsoft.com/office/drawing/2010/main" val="FFFFFF" mc:Ignorable=""/>
            </a:clrFrom>
            <a:clrTo>
              <a:srgbClr xmlns:mc="http://schemas.openxmlformats.org/markup-compatibility/2006" xmlns:a14="http://schemas.microsoft.com/office/drawing/2010/main" val="FFFFFF" mc:Ignorable="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895351"/>
          <a:ext cx="554264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95249</xdr:colOff>
      <xdr:row>5</xdr:row>
      <xdr:rowOff>47625</xdr:rowOff>
    </xdr:from>
    <xdr:to>
      <xdr:col>3</xdr:col>
      <xdr:colOff>530678</xdr:colOff>
      <xdr:row>5</xdr:row>
      <xdr:rowOff>276225</xdr:rowOff>
    </xdr:to>
    <xdr:pic>
      <xdr:nvPicPr>
        <xdr:cNvPr id="5" name="图片 4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xmlns:mc="http://schemas.openxmlformats.org/markup-compatibility/2006" xmlns:a14="http://schemas.microsoft.com/office/drawing/2010/main" val="FFFFFF" mc:Ignorable=""/>
            </a:clrFrom>
            <a:clrTo>
              <a:srgbClr xmlns:mc="http://schemas.openxmlformats.org/markup-compatibility/2006" xmlns:a14="http://schemas.microsoft.com/office/drawing/2010/main" val="FFFFFF" mc:Ignorable="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47899" y="904875"/>
          <a:ext cx="435429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161925</xdr:colOff>
      <xdr:row>5</xdr:row>
      <xdr:rowOff>57150</xdr:rowOff>
    </xdr:from>
    <xdr:to>
      <xdr:col>4</xdr:col>
      <xdr:colOff>652236</xdr:colOff>
      <xdr:row>5</xdr:row>
      <xdr:rowOff>276225</xdr:rowOff>
    </xdr:to>
    <xdr:pic>
      <xdr:nvPicPr>
        <xdr:cNvPr id="6" name="图片 5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xmlns:mc="http://schemas.openxmlformats.org/markup-compatibility/2006" xmlns:a14="http://schemas.microsoft.com/office/drawing/2010/main" val="FFFFFF" mc:Ignorable=""/>
            </a:clrFrom>
            <a:clrTo>
              <a:srgbClr xmlns:mc="http://schemas.openxmlformats.org/markup-compatibility/2006" xmlns:a14="http://schemas.microsoft.com/office/drawing/2010/main" val="FFFFFF" mc:Ignorable="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43225" y="914400"/>
          <a:ext cx="490311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228600</xdr:colOff>
      <xdr:row>27</xdr:row>
      <xdr:rowOff>61911</xdr:rowOff>
    </xdr:from>
    <xdr:to>
      <xdr:col>12</xdr:col>
      <xdr:colOff>19050</xdr:colOff>
      <xdr:row>46</xdr:row>
      <xdr:rowOff>114300</xdr:rowOff>
    </xdr:to>
    <xdr:graphicFrame macro="">
      <xdr:nvGraphicFramePr>
        <xdr:cNvPr id="8" name="图表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704850</xdr:colOff>
      <xdr:row>48</xdr:row>
      <xdr:rowOff>42861</xdr:rowOff>
    </xdr:from>
    <xdr:to>
      <xdr:col>7</xdr:col>
      <xdr:colOff>371475</xdr:colOff>
      <xdr:row>67</xdr:row>
      <xdr:rowOff>104774</xdr:rowOff>
    </xdr:to>
    <xdr:graphicFrame macro="">
      <xdr:nvGraphicFramePr>
        <xdr:cNvPr id="10" name="图表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361950</xdr:colOff>
      <xdr:row>7</xdr:row>
      <xdr:rowOff>71437</xdr:rowOff>
    </xdr:from>
    <xdr:to>
      <xdr:col>19</xdr:col>
      <xdr:colOff>133350</xdr:colOff>
      <xdr:row>23</xdr:row>
      <xdr:rowOff>71437</xdr:rowOff>
    </xdr:to>
    <xdr:graphicFrame macro="">
      <xdr:nvGraphicFramePr>
        <xdr:cNvPr id="11" name="图表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180974</xdr:colOff>
      <xdr:row>7</xdr:row>
      <xdr:rowOff>128587</xdr:rowOff>
    </xdr:from>
    <xdr:to>
      <xdr:col>11</xdr:col>
      <xdr:colOff>561975</xdr:colOff>
      <xdr:row>23</xdr:row>
      <xdr:rowOff>128587</xdr:rowOff>
    </xdr:to>
    <xdr:graphicFrame macro="">
      <xdr:nvGraphicFramePr>
        <xdr:cNvPr id="12" name="图表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0.27439</cdr:x>
      <cdr:y>0.03083</cdr:y>
    </cdr:from>
    <cdr:to>
      <cdr:x>0.72222</cdr:x>
      <cdr:y>0.17861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259743" y="102032"/>
          <a:ext cx="2055992" cy="489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altLang="zh-CN" sz="2000"/>
            <a:t>UR-T</a:t>
          </a:r>
          <a:r>
            <a:rPr lang="zh-CN" altLang="en-US" sz="2000"/>
            <a:t>曲线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0.53222</cdr:x>
      <cdr:y>0.31994</cdr:y>
    </cdr:from>
    <cdr:to>
      <cdr:x>0.5343</cdr:x>
      <cdr:y>0.88428</cdr:y>
    </cdr:to>
    <cdr:cxnSp macro="">
      <cdr:nvCxnSpPr>
        <cdr:cNvPr id="3" name="直接连接符​​ 2"/>
        <cdr:cNvCxnSpPr/>
      </cdr:nvCxnSpPr>
      <cdr:spPr>
        <a:xfrm xmlns:a="http://schemas.openxmlformats.org/drawingml/2006/main" flipH="1">
          <a:off x="2438400" y="1062039"/>
          <a:ext cx="9525" cy="1873307"/>
        </a:xfrm>
        <a:prstGeom xmlns:a="http://schemas.openxmlformats.org/drawingml/2006/main" prst="line">
          <a:avLst/>
        </a:prstGeom>
        <a:ln xmlns:a="http://schemas.openxmlformats.org/drawingml/2006/main"/>
      </cdr:spPr>
      <cdr:style>
        <a:lnRef xmlns:a="http://schemas.openxmlformats.org/drawingml/2006/main" idx="2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1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0.48441</cdr:x>
      <cdr:y>0.5868</cdr:y>
    </cdr:from>
    <cdr:to>
      <cdr:x>0.48649</cdr:x>
      <cdr:y>0.88368</cdr:y>
    </cdr:to>
    <cdr:cxnSp macro="">
      <cdr:nvCxnSpPr>
        <cdr:cNvPr id="8" name="直接连接符​​ 7"/>
        <cdr:cNvCxnSpPr/>
      </cdr:nvCxnSpPr>
      <cdr:spPr>
        <a:xfrm xmlns:a="http://schemas.openxmlformats.org/drawingml/2006/main" flipH="1">
          <a:off x="2219326" y="1947864"/>
          <a:ext cx="9524" cy="985482"/>
        </a:xfrm>
        <a:prstGeom xmlns:a="http://schemas.openxmlformats.org/drawingml/2006/main" prst="line">
          <a:avLst/>
        </a:prstGeom>
        <a:ln xmlns:a="http://schemas.openxmlformats.org/drawingml/2006/main"/>
      </cdr:spPr>
      <cdr:style>
        <a:lnRef xmlns:a="http://schemas.openxmlformats.org/drawingml/2006/main" idx="2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1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0.29106</cdr:x>
      <cdr:y>0.02726</cdr:y>
    </cdr:from>
    <cdr:to>
      <cdr:x>0.65489</cdr:x>
      <cdr:y>0.12195</cdr:y>
    </cdr:to>
    <cdr:sp macro="" textlink="">
      <cdr:nvSpPr>
        <cdr:cNvPr id="12" name="TextBox 11"/>
        <cdr:cNvSpPr txBox="1"/>
      </cdr:nvSpPr>
      <cdr:spPr>
        <a:xfrm xmlns:a="http://schemas.openxmlformats.org/drawingml/2006/main">
          <a:off x="1333500" y="90489"/>
          <a:ext cx="1666875" cy="3143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zh-CN" altLang="en-US" sz="1100"/>
        </a:p>
      </cdr:txBody>
    </cdr:sp>
  </cdr:relSizeAnchor>
  <cdr:relSizeAnchor xmlns:cdr="http://schemas.openxmlformats.org/drawingml/2006/chartDrawing">
    <cdr:from>
      <cdr:x>0.25988</cdr:x>
      <cdr:y>0.02726</cdr:y>
    </cdr:from>
    <cdr:to>
      <cdr:x>0.73597</cdr:x>
      <cdr:y>0.11621</cdr:y>
    </cdr:to>
    <cdr:sp macro="" textlink="">
      <cdr:nvSpPr>
        <cdr:cNvPr id="13" name="TextBox 12"/>
        <cdr:cNvSpPr txBox="1"/>
      </cdr:nvSpPr>
      <cdr:spPr>
        <a:xfrm xmlns:a="http://schemas.openxmlformats.org/drawingml/2006/main">
          <a:off x="1190625" y="90489"/>
          <a:ext cx="2181225" cy="2952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altLang="zh-CN" sz="1800"/>
            <a:t>UR-T</a:t>
          </a:r>
          <a:r>
            <a:rPr lang="zh-CN" altLang="en-US" sz="1800"/>
            <a:t>曲线局部放大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0.18125</cdr:x>
      <cdr:y>0.0191</cdr:y>
    </cdr:from>
    <cdr:to>
      <cdr:x>0.52292</cdr:x>
      <cdr:y>0.11285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828675" y="52388"/>
          <a:ext cx="1562100" cy="2571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altLang="zh-CN" sz="1600"/>
            <a:t>UsiD-T</a:t>
          </a:r>
          <a:r>
            <a:rPr lang="zh-CN" altLang="en-US" sz="1600"/>
            <a:t>曲线</a:t>
          </a: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0.29873</cdr:x>
      <cdr:y>0.02951</cdr:y>
    </cdr:from>
    <cdr:to>
      <cdr:x>0.65466</cdr:x>
      <cdr:y>0.15799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43026" y="80963"/>
          <a:ext cx="1600200" cy="3524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altLang="zh-CN" sz="1800"/>
            <a:t>UM-T</a:t>
          </a:r>
          <a:r>
            <a:rPr lang="zh-CN" altLang="en-US" sz="1800"/>
            <a:t>曲线</a:t>
          </a:r>
        </a:p>
      </cdr:txBody>
    </cdr:sp>
  </cdr:relSizeAnchor>
</c:userShape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xmlns:mc="http://schemas.openxmlformats.org/markup-compatibility/2006" xmlns:a14="http://schemas.microsoft.com/office/drawing/2010/main" val="1F497D" mc:Ignorable=""/>
      </a:dk2>
      <a:lt2>
        <a:srgbClr xmlns:mc="http://schemas.openxmlformats.org/markup-compatibility/2006" xmlns:a14="http://schemas.microsoft.com/office/drawing/2010/main" val="EEECE1" mc:Ignorable=""/>
      </a:lt2>
      <a:accent1>
        <a:srgbClr xmlns:mc="http://schemas.openxmlformats.org/markup-compatibility/2006" xmlns:a14="http://schemas.microsoft.com/office/drawing/2010/main" val="4F81BD" mc:Ignorable=""/>
      </a:accent1>
      <a:accent2>
        <a:srgbClr xmlns:mc="http://schemas.openxmlformats.org/markup-compatibility/2006" xmlns:a14="http://schemas.microsoft.com/office/drawing/2010/main" val="C0504D" mc:Ignorable=""/>
      </a:accent2>
      <a:accent3>
        <a:srgbClr xmlns:mc="http://schemas.openxmlformats.org/markup-compatibility/2006" xmlns:a14="http://schemas.microsoft.com/office/drawing/2010/main" val="9BBB59" mc:Ignorable=""/>
      </a:accent3>
      <a:accent4>
        <a:srgbClr xmlns:mc="http://schemas.openxmlformats.org/markup-compatibility/2006" xmlns:a14="http://schemas.microsoft.com/office/drawing/2010/main" val="8064A2" mc:Ignorable=""/>
      </a:accent4>
      <a:accent5>
        <a:srgbClr xmlns:mc="http://schemas.openxmlformats.org/markup-compatibility/2006" xmlns:a14="http://schemas.microsoft.com/office/drawing/2010/main" val="4BACC6" mc:Ignorable=""/>
      </a:accent5>
      <a:accent6>
        <a:srgbClr xmlns:mc="http://schemas.openxmlformats.org/markup-compatibility/2006" xmlns:a14="http://schemas.microsoft.com/office/drawing/2010/main" val="F79646" mc:Ignorable=""/>
      </a:accent6>
      <a:hlink>
        <a:srgbClr xmlns:mc="http://schemas.openxmlformats.org/markup-compatibility/2006" xmlns:a14="http://schemas.microsoft.com/office/drawing/2010/main" val="0000FF" mc:Ignorable=""/>
      </a:hlink>
      <a:folHlink>
        <a:srgbClr xmlns:mc="http://schemas.openxmlformats.org/markup-compatibility/2006" xmlns:a14="http://schemas.microsoft.com/office/drawing/2010/main" val="800080" mc:Ignorable="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xmlns:mc="http://schemas.openxmlformats.org/markup-compatibility/2006" xmlns:a14="http://schemas.microsoft.com/office/drawing/2010/main" val="000000" mc:Ignorable="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xmlns:mc="http://schemas.openxmlformats.org/markup-compatibility/2006" xmlns:a14="http://schemas.microsoft.com/office/drawing/2010/main" val="000000" mc:Ignorable="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xmlns:mc="http://schemas.openxmlformats.org/markup-compatibility/2006" xmlns:a14="http://schemas.microsoft.com/office/drawing/2010/main" val="000000" mc:Ignorable="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6"/>
  <sheetViews>
    <sheetView tabSelected="1" workbookViewId="0">
      <selection activeCell="C12" sqref="C12"/>
    </sheetView>
  </sheetViews>
  <sheetFormatPr defaultRowHeight="13.5" x14ac:dyDescent="0.15"/>
  <cols>
    <col min="1" max="1" width="9.875" customWidth="1"/>
    <col min="2" max="2" width="9.75" customWidth="1"/>
    <col min="3" max="3" width="9" customWidth="1"/>
    <col min="4" max="4" width="8.25" customWidth="1"/>
    <col min="5" max="5" width="9.625" customWidth="1"/>
  </cols>
  <sheetData>
    <row r="1" spans="1:8" x14ac:dyDescent="0.15">
      <c r="B1" s="2" t="s">
        <v>0</v>
      </c>
      <c r="C1" s="3"/>
      <c r="D1" s="3"/>
      <c r="E1" s="3"/>
      <c r="F1" s="3"/>
      <c r="G1" s="3"/>
      <c r="H1" s="3"/>
    </row>
    <row r="2" spans="1:8" x14ac:dyDescent="0.15">
      <c r="B2" s="3"/>
      <c r="C2" s="3"/>
      <c r="D2" s="3"/>
      <c r="E2" s="3"/>
      <c r="F2" s="3"/>
      <c r="G2" s="3"/>
      <c r="H2" s="3"/>
    </row>
    <row r="3" spans="1:8" x14ac:dyDescent="0.15">
      <c r="B3" s="3"/>
      <c r="C3" s="3"/>
      <c r="D3" s="3"/>
      <c r="E3" s="3"/>
      <c r="F3" s="3"/>
      <c r="G3" s="3"/>
      <c r="H3" s="3"/>
    </row>
    <row r="4" spans="1:8" x14ac:dyDescent="0.15">
      <c r="B4" s="1" t="s">
        <v>1</v>
      </c>
      <c r="C4" s="1" t="s">
        <v>2</v>
      </c>
      <c r="D4" s="1" t="s">
        <v>3</v>
      </c>
      <c r="E4" s="1">
        <f>3.90802*10^-3</f>
        <v>3.9080199999999999E-3</v>
      </c>
      <c r="F4" s="1" t="s">
        <v>5</v>
      </c>
      <c r="G4" s="1"/>
      <c r="H4" s="1"/>
    </row>
    <row r="5" spans="1:8" x14ac:dyDescent="0.15">
      <c r="B5" s="1"/>
      <c r="C5" s="1"/>
      <c r="D5" s="1"/>
      <c r="E5" s="1">
        <f>0.580195*10^-6</f>
        <v>5.8019500000000004E-7</v>
      </c>
      <c r="F5" s="1" t="s">
        <v>4</v>
      </c>
      <c r="G5" s="1"/>
      <c r="H5" s="1"/>
    </row>
    <row r="6" spans="1:8" ht="22.5" customHeight="1" x14ac:dyDescent="0.15">
      <c r="C6" t="s">
        <v>6</v>
      </c>
    </row>
    <row r="7" spans="1:8" x14ac:dyDescent="0.15">
      <c r="A7">
        <v>0.88100000000000001</v>
      </c>
      <c r="B7">
        <v>92</v>
      </c>
      <c r="C7">
        <f>(0.00390802-SQRT(0.00390802^2-4*5.80195*10^(-7)*(B7/100-1)))/(2*5.80195*10^(-7))</f>
        <v>-20.408886251358432</v>
      </c>
      <c r="D7">
        <v>0.65500000000000003</v>
      </c>
      <c r="E7">
        <v>4.96</v>
      </c>
    </row>
    <row r="8" spans="1:8" x14ac:dyDescent="0.15">
      <c r="A8">
        <v>0.84499999999999997</v>
      </c>
      <c r="B8">
        <v>88</v>
      </c>
      <c r="C8">
        <f t="shared" ref="C8:C46" si="0">(0.00390802-SQRT(0.00390802^2-4*5.80195*10^(-7)*(B8/100-1)))/(2*5.80195*10^(-7))</f>
        <v>-30.567368303163867</v>
      </c>
      <c r="D8">
        <v>0.67600000000000005</v>
      </c>
      <c r="E8">
        <v>5.08</v>
      </c>
    </row>
    <row r="9" spans="1:8" x14ac:dyDescent="0.15">
      <c r="A9">
        <v>0.81200000000000006</v>
      </c>
      <c r="B9">
        <v>84</v>
      </c>
      <c r="C9">
        <f>(0.00390802-SQRT(0.00390802^2-4*5.80195*10^(-7)*(B9/100-1)))/(2*5.80195*10^(-7))</f>
        <v>-40.695575188339127</v>
      </c>
      <c r="D9">
        <v>0.69299999999999995</v>
      </c>
      <c r="E9">
        <v>5.22</v>
      </c>
    </row>
    <row r="10" spans="1:8" x14ac:dyDescent="0.15">
      <c r="A10">
        <v>0.77600000000000002</v>
      </c>
      <c r="B10">
        <v>80</v>
      </c>
      <c r="C10">
        <f t="shared" si="0"/>
        <v>-50.79377599001436</v>
      </c>
      <c r="D10">
        <v>0.71199999999999997</v>
      </c>
      <c r="E10">
        <v>5.37</v>
      </c>
    </row>
    <row r="11" spans="1:8" x14ac:dyDescent="0.15">
      <c r="A11">
        <v>0.74199999999999999</v>
      </c>
      <c r="B11">
        <v>76</v>
      </c>
      <c r="C11">
        <f t="shared" si="0"/>
        <v>-60.862235828798305</v>
      </c>
      <c r="D11">
        <v>0.73099999999999998</v>
      </c>
      <c r="E11">
        <v>5.55</v>
      </c>
    </row>
    <row r="12" spans="1:8" x14ac:dyDescent="0.15">
      <c r="A12">
        <v>0.70499999999999996</v>
      </c>
      <c r="B12">
        <v>72</v>
      </c>
      <c r="C12">
        <f t="shared" si="0"/>
        <v>-70.901215944000398</v>
      </c>
      <c r="D12">
        <v>0.75</v>
      </c>
      <c r="E12">
        <v>5.73</v>
      </c>
    </row>
    <row r="13" spans="1:8" x14ac:dyDescent="0.15">
      <c r="A13">
        <v>0.66900000000000004</v>
      </c>
      <c r="B13">
        <v>68</v>
      </c>
      <c r="C13">
        <f t="shared" si="0"/>
        <v>-80.910973772708289</v>
      </c>
      <c r="D13">
        <v>0.77</v>
      </c>
      <c r="E13">
        <v>5.92</v>
      </c>
    </row>
    <row r="14" spans="1:8" x14ac:dyDescent="0.15">
      <c r="A14">
        <v>0.63200000000000001</v>
      </c>
      <c r="B14">
        <v>64</v>
      </c>
      <c r="C14">
        <f t="shared" si="0"/>
        <v>-90.891763026825544</v>
      </c>
      <c r="D14">
        <v>0.79100000000000004</v>
      </c>
      <c r="E14">
        <v>6.15</v>
      </c>
    </row>
    <row r="15" spans="1:8" x14ac:dyDescent="0.15">
      <c r="A15">
        <v>0.59499999999999997</v>
      </c>
      <c r="B15">
        <v>60</v>
      </c>
      <c r="C15">
        <f t="shared" si="0"/>
        <v>-100.84383376809342</v>
      </c>
      <c r="D15">
        <v>0.81299999999999994</v>
      </c>
      <c r="E15">
        <v>6.38</v>
      </c>
    </row>
    <row r="16" spans="1:8" x14ac:dyDescent="0.15">
      <c r="A16">
        <v>0.55700000000000005</v>
      </c>
      <c r="B16">
        <v>56</v>
      </c>
      <c r="C16">
        <f t="shared" si="0"/>
        <v>-110.76743248120127</v>
      </c>
      <c r="D16">
        <v>0.83399999999999996</v>
      </c>
      <c r="E16">
        <v>6.63</v>
      </c>
    </row>
    <row r="17" spans="1:5" x14ac:dyDescent="0.15">
      <c r="A17">
        <v>0.47399999999999998</v>
      </c>
      <c r="B17">
        <v>48</v>
      </c>
      <c r="C17">
        <f t="shared" si="0"/>
        <v>-130.5301823019611</v>
      </c>
      <c r="D17">
        <v>0.88300000000000001</v>
      </c>
      <c r="E17">
        <v>7.21</v>
      </c>
    </row>
    <row r="18" spans="1:5" x14ac:dyDescent="0.15">
      <c r="A18">
        <v>0.442</v>
      </c>
      <c r="B18">
        <v>44</v>
      </c>
      <c r="C18">
        <f t="shared" si="0"/>
        <v>-140.36980912575495</v>
      </c>
      <c r="D18">
        <v>0.90100000000000002</v>
      </c>
      <c r="E18">
        <v>7.43</v>
      </c>
    </row>
    <row r="19" spans="1:5" x14ac:dyDescent="0.15">
      <c r="A19">
        <v>0.40500000000000003</v>
      </c>
      <c r="B19">
        <v>40</v>
      </c>
      <c r="C19">
        <f t="shared" si="0"/>
        <v>-150.18191548728512</v>
      </c>
      <c r="D19">
        <v>0.92200000000000004</v>
      </c>
      <c r="E19">
        <v>7.78</v>
      </c>
    </row>
    <row r="20" spans="1:5" x14ac:dyDescent="0.15">
      <c r="A20">
        <v>0.39500000000000002</v>
      </c>
      <c r="B20">
        <v>39</v>
      </c>
      <c r="C20">
        <f t="shared" si="0"/>
        <v>-152.63066898574277</v>
      </c>
      <c r="D20">
        <v>0.92800000000000005</v>
      </c>
      <c r="E20">
        <v>7.88</v>
      </c>
    </row>
    <row r="21" spans="1:5" x14ac:dyDescent="0.15">
      <c r="A21">
        <v>0.36499999999999999</v>
      </c>
      <c r="B21">
        <v>38</v>
      </c>
      <c r="C21">
        <f t="shared" si="0"/>
        <v>-155.07772037960572</v>
      </c>
      <c r="D21">
        <v>0.93400000000000005</v>
      </c>
      <c r="E21">
        <v>7.98</v>
      </c>
    </row>
    <row r="22" spans="1:5" x14ac:dyDescent="0.15">
      <c r="A22">
        <v>0.376</v>
      </c>
      <c r="B22">
        <v>37</v>
      </c>
      <c r="C22">
        <f t="shared" si="0"/>
        <v>-157.52307321329636</v>
      </c>
      <c r="D22">
        <v>0.93899999999999995</v>
      </c>
      <c r="E22">
        <v>8.07</v>
      </c>
    </row>
    <row r="23" spans="1:5" x14ac:dyDescent="0.15">
      <c r="A23">
        <v>0.36599999999999999</v>
      </c>
      <c r="B23">
        <v>36</v>
      </c>
      <c r="C23">
        <f t="shared" si="0"/>
        <v>-159.96673101895382</v>
      </c>
      <c r="D23">
        <v>0.94499999999999995</v>
      </c>
      <c r="E23">
        <v>8.17</v>
      </c>
    </row>
    <row r="24" spans="1:5" x14ac:dyDescent="0.15">
      <c r="A24">
        <v>0.35699999999999998</v>
      </c>
      <c r="B24">
        <v>35</v>
      </c>
      <c r="C24">
        <f t="shared" si="0"/>
        <v>-162.40869731649005</v>
      </c>
      <c r="D24">
        <v>0.95099999999999996</v>
      </c>
      <c r="E24">
        <v>8.26</v>
      </c>
    </row>
    <row r="25" spans="1:5" x14ac:dyDescent="0.15">
      <c r="A25">
        <v>0.34699999999999998</v>
      </c>
      <c r="B25">
        <v>34</v>
      </c>
      <c r="C25">
        <f t="shared" si="0"/>
        <v>-164.84897561365253</v>
      </c>
      <c r="D25">
        <v>0.95499999999999996</v>
      </c>
      <c r="E25">
        <v>8.36</v>
      </c>
    </row>
    <row r="26" spans="1:5" x14ac:dyDescent="0.15">
      <c r="A26">
        <v>0.33700000000000002</v>
      </c>
      <c r="B26">
        <v>33</v>
      </c>
      <c r="C26">
        <f t="shared" si="0"/>
        <v>-167.28756940608272</v>
      </c>
      <c r="D26">
        <v>0.96199999999999997</v>
      </c>
      <c r="E26">
        <v>8.44</v>
      </c>
    </row>
    <row r="27" spans="1:5" x14ac:dyDescent="0.15">
      <c r="A27">
        <v>0.33300000000000002</v>
      </c>
      <c r="B27">
        <v>32.799999999999997</v>
      </c>
      <c r="C27">
        <f t="shared" si="0"/>
        <v>-167.77508633076783</v>
      </c>
      <c r="D27">
        <v>0.96399999999999997</v>
      </c>
      <c r="E27">
        <v>7.71</v>
      </c>
    </row>
    <row r="28" spans="1:5" x14ac:dyDescent="0.15">
      <c r="A28">
        <v>0.32900000000000001</v>
      </c>
      <c r="B28">
        <v>32.6</v>
      </c>
      <c r="C28">
        <f t="shared" si="0"/>
        <v>-168.26253604245727</v>
      </c>
      <c r="D28">
        <v>0.96499999999999997</v>
      </c>
      <c r="E28">
        <v>6.71</v>
      </c>
    </row>
    <row r="29" spans="1:5" x14ac:dyDescent="0.15">
      <c r="A29">
        <v>0.30499999999999999</v>
      </c>
      <c r="B29">
        <v>32.4</v>
      </c>
      <c r="C29">
        <f t="shared" si="0"/>
        <v>-168.74991856894212</v>
      </c>
      <c r="D29">
        <v>0.96699999999999997</v>
      </c>
      <c r="E29">
        <v>5.84</v>
      </c>
    </row>
    <row r="30" spans="1:5" x14ac:dyDescent="0.15">
      <c r="A30">
        <v>0.27500000000000002</v>
      </c>
      <c r="B30">
        <v>32.200000000000003</v>
      </c>
      <c r="C30">
        <f t="shared" si="0"/>
        <v>-169.23723393799557</v>
      </c>
      <c r="D30">
        <v>0.96799999999999997</v>
      </c>
      <c r="E30">
        <v>5.66</v>
      </c>
    </row>
    <row r="31" spans="1:5" x14ac:dyDescent="0.15">
      <c r="A31">
        <v>0.23599999999999999</v>
      </c>
      <c r="B31">
        <v>32</v>
      </c>
      <c r="C31">
        <f t="shared" si="0"/>
        <v>-169.72448217737133</v>
      </c>
      <c r="D31">
        <v>0.96799999999999997</v>
      </c>
      <c r="E31">
        <v>5.52</v>
      </c>
    </row>
    <row r="32" spans="1:5" x14ac:dyDescent="0.15">
      <c r="A32">
        <v>0.183</v>
      </c>
      <c r="B32">
        <v>31.8</v>
      </c>
      <c r="C32">
        <f t="shared" si="0"/>
        <v>-170.21166331480367</v>
      </c>
      <c r="D32">
        <v>0.96899999999999997</v>
      </c>
      <c r="E32">
        <v>5.4</v>
      </c>
    </row>
    <row r="33" spans="1:5" x14ac:dyDescent="0.15">
      <c r="A33">
        <v>0.11600000000000001</v>
      </c>
      <c r="B33">
        <v>31.6</v>
      </c>
      <c r="C33">
        <f t="shared" si="0"/>
        <v>-170.6987773780082</v>
      </c>
      <c r="D33">
        <v>0.96899999999999997</v>
      </c>
      <c r="E33">
        <v>5.32</v>
      </c>
    </row>
    <row r="34" spans="1:5" x14ac:dyDescent="0.15">
      <c r="A34">
        <v>8.3000000000000004E-2</v>
      </c>
      <c r="B34">
        <v>31.4</v>
      </c>
      <c r="C34">
        <f t="shared" si="0"/>
        <v>-171.18582439468037</v>
      </c>
      <c r="D34">
        <v>0.97</v>
      </c>
      <c r="E34">
        <v>5.22</v>
      </c>
    </row>
    <row r="35" spans="1:5" x14ac:dyDescent="0.15">
      <c r="A35">
        <v>0.03</v>
      </c>
      <c r="B35">
        <v>31.2</v>
      </c>
      <c r="C35">
        <f t="shared" si="0"/>
        <v>-171.6728043924991</v>
      </c>
      <c r="D35">
        <v>0.97199999999999998</v>
      </c>
      <c r="E35">
        <v>5.15</v>
      </c>
    </row>
    <row r="36" spans="1:5" x14ac:dyDescent="0.15">
      <c r="A36">
        <v>0.01</v>
      </c>
      <c r="B36">
        <v>31</v>
      </c>
      <c r="C36">
        <f t="shared" si="0"/>
        <v>-172.15971739912098</v>
      </c>
      <c r="D36">
        <v>0.97299999999999998</v>
      </c>
      <c r="E36">
        <v>5.07</v>
      </c>
    </row>
    <row r="37" spans="1:5" x14ac:dyDescent="0.15">
      <c r="A37">
        <v>2E-3</v>
      </c>
      <c r="B37">
        <v>30.8</v>
      </c>
      <c r="C37">
        <f t="shared" si="0"/>
        <v>-172.64656344218685</v>
      </c>
      <c r="D37">
        <v>0.97399999999999998</v>
      </c>
      <c r="E37">
        <v>4.91</v>
      </c>
    </row>
    <row r="38" spans="1:5" x14ac:dyDescent="0.15">
      <c r="A38">
        <v>0</v>
      </c>
      <c r="B38">
        <v>30.6</v>
      </c>
      <c r="C38">
        <f t="shared" si="0"/>
        <v>-173.13334254931587</v>
      </c>
      <c r="D38">
        <v>0.97499999999999998</v>
      </c>
      <c r="E38">
        <v>4.82</v>
      </c>
    </row>
    <row r="39" spans="1:5" x14ac:dyDescent="0.15">
      <c r="A39">
        <v>0</v>
      </c>
      <c r="B39">
        <v>30.4</v>
      </c>
      <c r="C39">
        <f t="shared" si="0"/>
        <v>-173.62005474810931</v>
      </c>
      <c r="D39">
        <v>0.97599999999999998</v>
      </c>
      <c r="E39">
        <v>4.8</v>
      </c>
    </row>
    <row r="40" spans="1:5" x14ac:dyDescent="0.15">
      <c r="A40">
        <v>0</v>
      </c>
      <c r="B40">
        <v>30.2</v>
      </c>
      <c r="C40">
        <f t="shared" si="0"/>
        <v>-174.10670006615047</v>
      </c>
      <c r="D40">
        <v>0.97699999999999998</v>
      </c>
      <c r="E40">
        <v>4.79</v>
      </c>
    </row>
    <row r="41" spans="1:5" x14ac:dyDescent="0.15">
      <c r="A41">
        <v>0</v>
      </c>
      <c r="B41">
        <v>29.6</v>
      </c>
      <c r="C41">
        <f t="shared" si="0"/>
        <v>-175.56623501129334</v>
      </c>
      <c r="D41">
        <v>0.98</v>
      </c>
      <c r="E41">
        <v>4.78</v>
      </c>
    </row>
    <row r="42" spans="1:5" x14ac:dyDescent="0.15">
      <c r="A42">
        <v>0</v>
      </c>
      <c r="B42">
        <v>29</v>
      </c>
      <c r="C42">
        <f t="shared" si="0"/>
        <v>-177.02516902080529</v>
      </c>
      <c r="D42">
        <v>0.98199999999999998</v>
      </c>
      <c r="E42">
        <v>4.78</v>
      </c>
    </row>
    <row r="43" spans="1:5" x14ac:dyDescent="0.15">
      <c r="A43">
        <v>0</v>
      </c>
      <c r="B43">
        <v>28.4</v>
      </c>
      <c r="C43">
        <f t="shared" si="0"/>
        <v>-178.48350283634753</v>
      </c>
      <c r="D43">
        <v>0.98399999999999999</v>
      </c>
      <c r="E43">
        <v>4.78</v>
      </c>
    </row>
    <row r="44" spans="1:5" x14ac:dyDescent="0.15">
      <c r="A44">
        <v>0</v>
      </c>
      <c r="B44">
        <v>27.8</v>
      </c>
      <c r="C44">
        <f t="shared" si="0"/>
        <v>-179.94123719805492</v>
      </c>
      <c r="D44">
        <v>0.98599999999999999</v>
      </c>
      <c r="E44">
        <v>4.78</v>
      </c>
    </row>
    <row r="45" spans="1:5" x14ac:dyDescent="0.15">
      <c r="A45">
        <v>0</v>
      </c>
      <c r="B45">
        <v>27.4</v>
      </c>
      <c r="C45">
        <f t="shared" si="0"/>
        <v>-180.91272744076352</v>
      </c>
      <c r="D45">
        <v>0.98799999999999999</v>
      </c>
      <c r="E45">
        <v>4.79</v>
      </c>
    </row>
    <row r="46" spans="1:5" x14ac:dyDescent="0.15">
      <c r="A46">
        <v>0</v>
      </c>
      <c r="B46">
        <v>27</v>
      </c>
      <c r="C46">
        <f t="shared" si="0"/>
        <v>-181.88395180632591</v>
      </c>
      <c r="D46">
        <v>0.99</v>
      </c>
      <c r="E46">
        <v>4.82</v>
      </c>
    </row>
  </sheetData>
  <mergeCells count="1">
    <mergeCell ref="B1:H3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2010-05-04T15:36:00Z</dcterms:modified>
</cp:coreProperties>
</file>