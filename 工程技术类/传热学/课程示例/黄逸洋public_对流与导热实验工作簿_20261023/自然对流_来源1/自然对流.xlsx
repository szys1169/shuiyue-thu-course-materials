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4526"/>
  <workbookPr filterPrivacy="1" autoCompressPictures="0"/>
  <bookViews>
    <workbookView xWindow="2860" yWindow="1360" windowWidth="16420" windowHeight="11900"/>
  </bookViews>
  <sheets>
    <sheet name="Sheet1" sheetId="1" r:id="rId1"/>
    <sheet name="工作表1" sheetId="2" r:id="rId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30" i="1" l="1"/>
  <c r="F39" i="2"/>
  <c r="F40" i="2"/>
  <c r="F41" i="2"/>
  <c r="F42" i="2"/>
  <c r="F43" i="2"/>
  <c r="F44" i="2"/>
  <c r="F45" i="2"/>
  <c r="F38" i="2"/>
  <c r="G38" i="2"/>
  <c r="G31" i="2"/>
  <c r="G32" i="2"/>
  <c r="G33" i="2"/>
  <c r="G34" i="2"/>
  <c r="G35" i="2"/>
  <c r="G36" i="2"/>
  <c r="G37" i="2"/>
  <c r="G30" i="2"/>
  <c r="F31" i="2"/>
  <c r="F32" i="2"/>
  <c r="F33" i="2"/>
  <c r="F34" i="2"/>
  <c r="F35" i="2"/>
  <c r="F36" i="2"/>
  <c r="F37" i="2"/>
  <c r="F30" i="2"/>
  <c r="G23" i="2"/>
  <c r="G24" i="2"/>
  <c r="G25" i="2"/>
  <c r="G26" i="2"/>
  <c r="G27" i="2"/>
  <c r="G28" i="2"/>
  <c r="G29" i="2"/>
  <c r="G22" i="2"/>
  <c r="F23" i="2"/>
  <c r="F24" i="2"/>
  <c r="F25" i="2"/>
  <c r="F26" i="2"/>
  <c r="F27" i="2"/>
  <c r="F28" i="2"/>
  <c r="F29" i="2"/>
  <c r="F22" i="2"/>
  <c r="F21" i="2"/>
  <c r="F14" i="2"/>
  <c r="F15" i="2"/>
  <c r="F16" i="2"/>
  <c r="F17" i="2"/>
  <c r="F18" i="2"/>
  <c r="F19" i="2"/>
  <c r="F20" i="2"/>
  <c r="F13" i="2"/>
  <c r="F12" i="2"/>
  <c r="M4" i="1"/>
  <c r="K11" i="1"/>
  <c r="K8" i="1"/>
  <c r="K7" i="1"/>
  <c r="D43" i="1"/>
  <c r="D44" i="1"/>
  <c r="D32" i="1"/>
  <c r="D34" i="1"/>
  <c r="D45" i="1"/>
  <c r="D46" i="1"/>
  <c r="D47" i="1"/>
  <c r="D48" i="1"/>
  <c r="E43" i="1"/>
  <c r="E44" i="1"/>
  <c r="E32" i="1"/>
  <c r="E34" i="1"/>
  <c r="E45" i="1"/>
  <c r="E46" i="1"/>
  <c r="E47" i="1"/>
  <c r="E48" i="1"/>
  <c r="F43" i="1"/>
  <c r="F44" i="1"/>
  <c r="F32" i="1"/>
  <c r="F34" i="1"/>
  <c r="F45" i="1"/>
  <c r="F46" i="1"/>
  <c r="F47" i="1"/>
  <c r="F48" i="1"/>
  <c r="G43" i="1"/>
  <c r="G44" i="1"/>
  <c r="G32" i="1"/>
  <c r="G34" i="1"/>
  <c r="G45" i="1"/>
  <c r="G46" i="1"/>
  <c r="G47" i="1"/>
  <c r="G48" i="1"/>
  <c r="H43" i="1"/>
  <c r="H44" i="1"/>
  <c r="H32" i="1"/>
  <c r="H34" i="1"/>
  <c r="H45" i="1"/>
  <c r="H46" i="1"/>
  <c r="H47" i="1"/>
  <c r="H48" i="1"/>
  <c r="I43" i="1"/>
  <c r="I44" i="1"/>
  <c r="I32" i="1"/>
  <c r="I34" i="1"/>
  <c r="I45" i="1"/>
  <c r="I46" i="1"/>
  <c r="I47" i="1"/>
  <c r="I48" i="1"/>
  <c r="J43" i="1"/>
  <c r="J44" i="1"/>
  <c r="J32" i="1"/>
  <c r="J34" i="1"/>
  <c r="J45" i="1"/>
  <c r="J46" i="1"/>
  <c r="J47" i="1"/>
  <c r="J48" i="1"/>
  <c r="C43" i="1"/>
  <c r="C44" i="1"/>
  <c r="C32" i="1"/>
  <c r="C34" i="1"/>
  <c r="C45" i="1"/>
  <c r="C46" i="1"/>
  <c r="C47" i="1"/>
  <c r="C48" i="1"/>
  <c r="C49" i="1"/>
  <c r="D35" i="1"/>
  <c r="D36" i="1"/>
  <c r="D39" i="1"/>
  <c r="D50" i="1"/>
  <c r="D51" i="1"/>
  <c r="D53" i="1"/>
  <c r="E35" i="1"/>
  <c r="E36" i="1"/>
  <c r="E39" i="1"/>
  <c r="E50" i="1"/>
  <c r="E51" i="1"/>
  <c r="E53" i="1"/>
  <c r="F35" i="1"/>
  <c r="F36" i="1"/>
  <c r="F39" i="1"/>
  <c r="F50" i="1"/>
  <c r="F51" i="1"/>
  <c r="F53" i="1"/>
  <c r="G35" i="1"/>
  <c r="G36" i="1"/>
  <c r="G39" i="1"/>
  <c r="G50" i="1"/>
  <c r="G51" i="1"/>
  <c r="G53" i="1"/>
  <c r="H35" i="1"/>
  <c r="H36" i="1"/>
  <c r="H39" i="1"/>
  <c r="H50" i="1"/>
  <c r="H51" i="1"/>
  <c r="H53" i="1"/>
  <c r="I35" i="1"/>
  <c r="I36" i="1"/>
  <c r="I39" i="1"/>
  <c r="I50" i="1"/>
  <c r="I51" i="1"/>
  <c r="I53" i="1"/>
  <c r="J35" i="1"/>
  <c r="J36" i="1"/>
  <c r="J39" i="1"/>
  <c r="J50" i="1"/>
  <c r="J51" i="1"/>
  <c r="J53" i="1"/>
  <c r="D49" i="1"/>
  <c r="D52" i="1"/>
  <c r="E49" i="1"/>
  <c r="E52" i="1"/>
  <c r="F49" i="1"/>
  <c r="F52" i="1"/>
  <c r="I49" i="1"/>
  <c r="I52" i="1"/>
  <c r="J49" i="1"/>
  <c r="J52" i="1"/>
  <c r="C35" i="1"/>
  <c r="C36" i="1"/>
  <c r="C39" i="1"/>
  <c r="C50" i="1"/>
  <c r="C51" i="1"/>
  <c r="C53" i="1"/>
  <c r="C52" i="1"/>
  <c r="G49" i="1"/>
  <c r="G52" i="1"/>
  <c r="D30" i="1"/>
  <c r="E30" i="1"/>
  <c r="F30" i="1"/>
  <c r="G30" i="1"/>
  <c r="H30" i="1"/>
  <c r="I30" i="1"/>
  <c r="J30" i="1"/>
  <c r="H49" i="1"/>
  <c r="H52" i="1"/>
  <c r="M5" i="1"/>
  <c r="M6" i="1"/>
  <c r="M7" i="1"/>
  <c r="M8" i="1"/>
  <c r="M9" i="1"/>
  <c r="M10" i="1"/>
  <c r="M11" i="1"/>
  <c r="K10" i="1"/>
  <c r="K9" i="1"/>
  <c r="K6" i="1"/>
  <c r="K5" i="1"/>
  <c r="K4" i="1"/>
</calcChain>
</file>

<file path=xl/sharedStrings.xml><?xml version="1.0" encoding="utf-8"?>
<sst xmlns="http://schemas.openxmlformats.org/spreadsheetml/2006/main" count="58" uniqueCount="42">
  <si>
    <t>t1/mV</t>
    <phoneticPr fontId="1" type="noConversion"/>
  </si>
  <si>
    <t>t2/mV</t>
  </si>
  <si>
    <t>t3/mV</t>
  </si>
  <si>
    <t>t4/mV</t>
  </si>
  <si>
    <t>t5/mV</t>
  </si>
  <si>
    <t>t6/mV</t>
  </si>
  <si>
    <t>t7/mV</t>
  </si>
  <si>
    <t>t8/mV</t>
  </si>
  <si>
    <t>tf/mV</t>
    <phoneticPr fontId="1" type="noConversion"/>
  </si>
  <si>
    <t>UR/mV</t>
    <phoneticPr fontId="1" type="noConversion"/>
  </si>
  <si>
    <t>U/V</t>
    <phoneticPr fontId="1" type="noConversion"/>
  </si>
  <si>
    <t>序号</t>
    <phoneticPr fontId="1" type="noConversion"/>
  </si>
  <si>
    <t>twa/mV</t>
    <phoneticPr fontId="1" type="noConversion"/>
  </si>
  <si>
    <t>tfa/mV</t>
    <phoneticPr fontId="1" type="noConversion"/>
  </si>
  <si>
    <t>twa/℃</t>
    <phoneticPr fontId="1" type="noConversion"/>
  </si>
  <si>
    <t>tfa/℃</t>
    <phoneticPr fontId="1" type="noConversion"/>
  </si>
  <si>
    <t xml:space="preserve"> </t>
    <phoneticPr fontId="1" type="noConversion"/>
  </si>
  <si>
    <t>R/Ω</t>
    <phoneticPr fontId="1" type="noConversion"/>
  </si>
  <si>
    <t>Q/W</t>
    <phoneticPr fontId="1" type="noConversion"/>
  </si>
  <si>
    <t>Tw/K</t>
    <phoneticPr fontId="1" type="noConversion"/>
  </si>
  <si>
    <t>Tf/K</t>
    <phoneticPr fontId="1" type="noConversion"/>
  </si>
  <si>
    <t>ε</t>
    <phoneticPr fontId="1" type="noConversion"/>
  </si>
  <si>
    <t>C0</t>
    <phoneticPr fontId="1" type="noConversion"/>
  </si>
  <si>
    <t>D/mm</t>
    <phoneticPr fontId="1" type="noConversion"/>
  </si>
  <si>
    <t>L/mm</t>
    <phoneticPr fontId="1" type="noConversion"/>
  </si>
  <si>
    <t>F/m^2</t>
    <phoneticPr fontId="1" type="noConversion"/>
  </si>
  <si>
    <t>hz</t>
    <phoneticPr fontId="1" type="noConversion"/>
  </si>
  <si>
    <t>hj</t>
    <phoneticPr fontId="1" type="noConversion"/>
  </si>
  <si>
    <t>Qr/W</t>
    <phoneticPr fontId="1" type="noConversion"/>
  </si>
  <si>
    <t>tm/℃</t>
    <phoneticPr fontId="1" type="noConversion"/>
  </si>
  <si>
    <t>Tm/K</t>
    <phoneticPr fontId="1" type="noConversion"/>
  </si>
  <si>
    <t>λ/W/m*K</t>
    <phoneticPr fontId="1" type="noConversion"/>
  </si>
  <si>
    <t>ν/m^2/s</t>
    <phoneticPr fontId="1" type="noConversion"/>
  </si>
  <si>
    <t>α/K^-1</t>
    <phoneticPr fontId="1" type="noConversion"/>
  </si>
  <si>
    <t>g</t>
    <phoneticPr fontId="1" type="noConversion"/>
  </si>
  <si>
    <t>Pr</t>
    <phoneticPr fontId="1" type="noConversion"/>
  </si>
  <si>
    <t>Nu</t>
    <phoneticPr fontId="1" type="noConversion"/>
  </si>
  <si>
    <t>Gr</t>
    <phoneticPr fontId="1" type="noConversion"/>
  </si>
  <si>
    <t>Gr*Pr</t>
    <phoneticPr fontId="1" type="noConversion"/>
  </si>
  <si>
    <t>lgNu</t>
    <phoneticPr fontId="1" type="noConversion"/>
  </si>
  <si>
    <t>lg(Gr*Pr)</t>
    <phoneticPr fontId="1" type="noConversion"/>
  </si>
  <si>
    <t>（hj-hz）/hz%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</si>
</sst>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0"/>
    <numFmt numFmtId="177" formatCode="0.0000"/>
    <numFmt numFmtId="179" formatCode="0_);[Red]\(0\)"/>
    <numFmt numFmtId="181" formatCode="#,##0.000"/>
    <numFmt numFmtId="192" formatCode="0.000E+00;\_x0000_"/>
  </numFmts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u/>
      <sz val="11"/>
      <color theme="11"/>
      <name val="宋体"/>
      <family val="2"/>
      <scheme val="minor"/>
    </font>
    <font>
      <sz val="11"/>
      <color theme="1"/>
      <name val="Calibri (主题正文)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2" fontId="0" fillId="0" borderId="0" xfId="0" applyNumberFormat="1"/>
    <xf numFmtId="181" fontId="0" fillId="0" borderId="0" xfId="0" applyNumberFormat="1"/>
    <xf numFmtId="176" fontId="0" fillId="0" borderId="0" xfId="0" applyNumberFormat="1"/>
    <xf numFmtId="0" fontId="4" fillId="0" borderId="0" xfId="0" applyFont="1" applyAlignment="1">
      <alignment horizontal="center"/>
    </xf>
    <xf numFmtId="176" fontId="4" fillId="0" borderId="0" xfId="0" applyNumberFormat="1" applyFont="1" applyAlignment="1">
      <alignment horizontal="center"/>
    </xf>
    <xf numFmtId="0" fontId="4" fillId="0" borderId="0" xfId="0" applyFont="1"/>
    <xf numFmtId="0" fontId="4" fillId="2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92" fontId="4" fillId="0" borderId="1" xfId="0" applyNumberFormat="1" applyFont="1" applyBorder="1" applyAlignment="1">
      <alignment horizontal="center" vertical="center"/>
    </xf>
  </cellXfs>
  <cellStyles count="99">
    <cellStyle name="超链接" xfId="1" builtinId="8" hidden="1"/>
    <cellStyle name="超链接" xfId="3" builtinId="8" hidden="1"/>
    <cellStyle name="超链接" xfId="5" builtinId="8" hidden="1"/>
    <cellStyle name="超链接" xfId="7" builtinId="8" hidden="1"/>
    <cellStyle name="超链接" xfId="9" builtinId="8" hidden="1"/>
    <cellStyle name="超链接" xfId="11" builtinId="8" hidden="1"/>
    <cellStyle name="超链接" xfId="13" builtinId="8" hidden="1"/>
    <cellStyle name="超链接" xfId="15" builtinId="8" hidden="1"/>
    <cellStyle name="超链接" xfId="17" builtinId="8" hidden="1"/>
    <cellStyle name="超链接" xfId="19" builtinId="8" hidden="1"/>
    <cellStyle name="超链接" xfId="21" builtinId="8" hidden="1"/>
    <cellStyle name="超链接" xfId="23" builtinId="8" hidden="1"/>
    <cellStyle name="超链接" xfId="25" builtinId="8" hidden="1"/>
    <cellStyle name="超链接" xfId="27" builtinId="8" hidden="1"/>
    <cellStyle name="超链接" xfId="29" builtinId="8" hidden="1"/>
    <cellStyle name="超链接" xfId="31" builtinId="8" hidden="1"/>
    <cellStyle name="超链接" xfId="33" builtinId="8" hidden="1"/>
    <cellStyle name="超链接" xfId="35" builtinId="8" hidden="1"/>
    <cellStyle name="超链接" xfId="37" builtinId="8" hidden="1"/>
    <cellStyle name="超链接" xfId="39" builtinId="8" hidden="1"/>
    <cellStyle name="超链接" xfId="41" builtinId="8" hidden="1"/>
    <cellStyle name="超链接" xfId="43" builtinId="8" hidden="1"/>
    <cellStyle name="超链接" xfId="45" builtinId="8" hidden="1"/>
    <cellStyle name="超链接" xfId="47" builtinId="8" hidden="1"/>
    <cellStyle name="超链接" xfId="49" builtinId="8" hidden="1"/>
    <cellStyle name="超链接" xfId="51" builtinId="8" hidden="1"/>
    <cellStyle name="超链接" xfId="53" builtinId="8" hidden="1"/>
    <cellStyle name="超链接" xfId="55" builtinId="8" hidden="1"/>
    <cellStyle name="超链接" xfId="57" builtinId="8" hidden="1"/>
    <cellStyle name="超链接" xfId="59" builtinId="8" hidden="1"/>
    <cellStyle name="超链接" xfId="61" builtinId="8" hidden="1"/>
    <cellStyle name="超链接" xfId="63" builtinId="8" hidden="1"/>
    <cellStyle name="超链接" xfId="65" builtinId="8" hidden="1"/>
    <cellStyle name="超链接" xfId="67" builtinId="8" hidden="1"/>
    <cellStyle name="超链接" xfId="69" builtinId="8" hidden="1"/>
    <cellStyle name="超链接" xfId="71" builtinId="8" hidden="1"/>
    <cellStyle name="超链接" xfId="73" builtinId="8" hidden="1"/>
    <cellStyle name="超链接" xfId="75" builtinId="8" hidden="1"/>
    <cellStyle name="超链接" xfId="77" builtinId="8" hidden="1"/>
    <cellStyle name="超链接" xfId="79" builtinId="8" hidden="1"/>
    <cellStyle name="超链接" xfId="81" builtinId="8" hidden="1"/>
    <cellStyle name="超链接" xfId="83" builtinId="8" hidden="1"/>
    <cellStyle name="超链接" xfId="85" builtinId="8" hidden="1"/>
    <cellStyle name="超链接" xfId="87" builtinId="8" hidden="1"/>
    <cellStyle name="超链接" xfId="89" builtinId="8" hidden="1"/>
    <cellStyle name="超链接" xfId="91" builtinId="8" hidden="1"/>
    <cellStyle name="超链接" xfId="93" builtinId="8" hidden="1"/>
    <cellStyle name="超链接" xfId="95" builtinId="8" hidden="1"/>
    <cellStyle name="超链接" xfId="97" builtinId="8" hidden="1"/>
    <cellStyle name="访问过的超链接" xfId="2" builtinId="9" hidden="1"/>
    <cellStyle name="访问过的超链接" xfId="4" builtinId="9" hidden="1"/>
    <cellStyle name="访问过的超链接" xfId="6" builtinId="9" hidden="1"/>
    <cellStyle name="访问过的超链接" xfId="8" builtinId="9" hidden="1"/>
    <cellStyle name="访问过的超链接" xfId="10" builtinId="9" hidden="1"/>
    <cellStyle name="访问过的超链接" xfId="12" builtinId="9" hidden="1"/>
    <cellStyle name="访问过的超链接" xfId="14" builtinId="9" hidden="1"/>
    <cellStyle name="访问过的超链接" xfId="16" builtinId="9" hidden="1"/>
    <cellStyle name="访问过的超链接" xfId="18" builtinId="9" hidden="1"/>
    <cellStyle name="访问过的超链接" xfId="20" builtinId="9" hidden="1"/>
    <cellStyle name="访问过的超链接" xfId="22" builtinId="9" hidden="1"/>
    <cellStyle name="访问过的超链接" xfId="24" builtinId="9" hidden="1"/>
    <cellStyle name="访问过的超链接" xfId="26" builtinId="9" hidden="1"/>
    <cellStyle name="访问过的超链接" xfId="28" builtinId="9" hidden="1"/>
    <cellStyle name="访问过的超链接" xfId="30" builtinId="9" hidden="1"/>
    <cellStyle name="访问过的超链接" xfId="32" builtinId="9" hidden="1"/>
    <cellStyle name="访问过的超链接" xfId="34" builtinId="9" hidden="1"/>
    <cellStyle name="访问过的超链接" xfId="36" builtinId="9" hidden="1"/>
    <cellStyle name="访问过的超链接" xfId="38" builtinId="9" hidden="1"/>
    <cellStyle name="访问过的超链接" xfId="40" builtinId="9" hidden="1"/>
    <cellStyle name="访问过的超链接" xfId="42" builtinId="9" hidden="1"/>
    <cellStyle name="访问过的超链接" xfId="44" builtinId="9" hidden="1"/>
    <cellStyle name="访问过的超链接" xfId="46" builtinId="9" hidden="1"/>
    <cellStyle name="访问过的超链接" xfId="48" builtinId="9" hidden="1"/>
    <cellStyle name="访问过的超链接" xfId="50" builtinId="9" hidden="1"/>
    <cellStyle name="访问过的超链接" xfId="52" builtinId="9" hidden="1"/>
    <cellStyle name="访问过的超链接" xfId="54" builtinId="9" hidden="1"/>
    <cellStyle name="访问过的超链接" xfId="56" builtinId="9" hidden="1"/>
    <cellStyle name="访问过的超链接" xfId="58" builtinId="9" hidden="1"/>
    <cellStyle name="访问过的超链接" xfId="60" builtinId="9" hidden="1"/>
    <cellStyle name="访问过的超链接" xfId="62" builtinId="9" hidden="1"/>
    <cellStyle name="访问过的超链接" xfId="64" builtinId="9" hidden="1"/>
    <cellStyle name="访问过的超链接" xfId="66" builtinId="9" hidden="1"/>
    <cellStyle name="访问过的超链接" xfId="68" builtinId="9" hidden="1"/>
    <cellStyle name="访问过的超链接" xfId="70" builtinId="9" hidden="1"/>
    <cellStyle name="访问过的超链接" xfId="72" builtinId="9" hidden="1"/>
    <cellStyle name="访问过的超链接" xfId="74" builtinId="9" hidden="1"/>
    <cellStyle name="访问过的超链接" xfId="76" builtinId="9" hidden="1"/>
    <cellStyle name="访问过的超链接" xfId="78" builtinId="9" hidden="1"/>
    <cellStyle name="访问过的超链接" xfId="80" builtinId="9" hidden="1"/>
    <cellStyle name="访问过的超链接" xfId="82" builtinId="9" hidden="1"/>
    <cellStyle name="访问过的超链接" xfId="84" builtinId="9" hidden="1"/>
    <cellStyle name="访问过的超链接" xfId="86" builtinId="9" hidden="1"/>
    <cellStyle name="访问过的超链接" xfId="88" builtinId="9" hidden="1"/>
    <cellStyle name="访问过的超链接" xfId="90" builtinId="9" hidden="1"/>
    <cellStyle name="访问过的超链接" xfId="92" builtinId="9" hidden="1"/>
    <cellStyle name="访问过的超链接" xfId="94" builtinId="9" hidden="1"/>
    <cellStyle name="访问过的超链接" xfId="96" builtinId="9" hidden="1"/>
    <cellStyle name="访问过的超链接" xfId="98" builtinId="9" hidden="1"/>
    <cellStyle name="普通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Relationship Id="rId2" Type="http://schemas.microsoft.com/office/2011/relationships/chartStyle" Target="style1.xml"/><Relationship Id="rId3" Type="http://schemas.microsoft.com/office/2011/relationships/chartColorStyle" Target="colors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2108705161855"/>
          <c:y val="0.201504346840366"/>
          <c:w val="0.782118019730292"/>
          <c:h val="0.714244556639723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Sheet1!$C$53:$J$53</c:f>
              <c:numCache>
                <c:formatCode>0.000</c:formatCode>
                <c:ptCount val="8"/>
                <c:pt idx="0">
                  <c:v>4.516604398633607</c:v>
                </c:pt>
                <c:pt idx="1">
                  <c:v>5.419611541747677</c:v>
                </c:pt>
                <c:pt idx="2">
                  <c:v>5.701344472079404</c:v>
                </c:pt>
                <c:pt idx="3">
                  <c:v>5.178991606183192</c:v>
                </c:pt>
                <c:pt idx="4">
                  <c:v>3.746913574270107</c:v>
                </c:pt>
                <c:pt idx="5">
                  <c:v>4.071725289716218</c:v>
                </c:pt>
                <c:pt idx="6">
                  <c:v>4.621888171584499</c:v>
                </c:pt>
                <c:pt idx="7">
                  <c:v>6.564389009890995</c:v>
                </c:pt>
              </c:numCache>
            </c:numRef>
          </c:xVal>
          <c:yVal>
            <c:numRef>
              <c:f>Sheet1!$C$52:$J$52</c:f>
              <c:numCache>
                <c:formatCode>0.000</c:formatCode>
                <c:ptCount val="8"/>
                <c:pt idx="0">
                  <c:v>0.861069499596722</c:v>
                </c:pt>
                <c:pt idx="1">
                  <c:v>1.019159270314901</c:v>
                </c:pt>
                <c:pt idx="2">
                  <c:v>1.075359041099872</c:v>
                </c:pt>
                <c:pt idx="3">
                  <c:v>1.00494568336471</c:v>
                </c:pt>
                <c:pt idx="4">
                  <c:v>0.667570435315339</c:v>
                </c:pt>
                <c:pt idx="5">
                  <c:v>0.752167363856991</c:v>
                </c:pt>
                <c:pt idx="6">
                  <c:v>0.855007804535637</c:v>
                </c:pt>
                <c:pt idx="7">
                  <c:v>1.312057549295848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8659176"/>
        <c:axId val="2095468360"/>
      </c:scatterChart>
      <c:valAx>
        <c:axId val="2098659176"/>
        <c:scaling>
          <c:orientation val="minMax"/>
          <c:min val="3.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95468360"/>
        <c:crosses val="autoZero"/>
        <c:crossBetween val="midCat"/>
        <c:majorUnit val="0.6"/>
      </c:valAx>
      <c:valAx>
        <c:axId val="2095468360"/>
        <c:scaling>
          <c:orientation val="minMax"/>
          <c:min val="0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98659176"/>
        <c:crossesAt val="0.6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666750</xdr:colOff>
      <xdr:row>54</xdr:row>
      <xdr:rowOff>114300</xdr:rowOff>
    </xdr:from>
    <xdr:to>
      <xdr:col>7</xdr:col>
      <xdr:colOff>219075</xdr:colOff>
      <xdr:row>71</xdr:row>
      <xdr:rowOff>66675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0.30833</cdr:x>
      <cdr:y>0.02431</cdr:y>
    </cdr:from>
    <cdr:to>
      <cdr:x>0.7125</cdr:x>
      <cdr:y>0.14236</cdr:y>
    </cdr:to>
    <cdr:sp macro="" textlink="">
      <cdr:nvSpPr>
        <cdr:cNvPr id="2" name="文本框 1"/>
        <cdr:cNvSpPr txBox="1"/>
      </cdr:nvSpPr>
      <cdr:spPr>
        <a:xfrm xmlns:a="http://schemas.openxmlformats.org/drawingml/2006/main">
          <a:off x="1409700" y="66675"/>
          <a:ext cx="1847850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400" b="1"/>
            <a:t>lgNu-lgGrPr</a:t>
          </a:r>
          <a:r>
            <a:rPr lang="zh-CN" altLang="en-US" sz="1400" b="1"/>
            <a:t>拟合线</a:t>
          </a:r>
        </a:p>
      </cdr:txBody>
    </cdr:sp>
  </cdr:relSizeAnchor>
  <cdr:relSizeAnchor xmlns:cdr="http://schemas.openxmlformats.org/drawingml/2006/chartDrawing">
    <cdr:from>
      <cdr:x>0.88016</cdr:x>
      <cdr:y>0.87043</cdr:y>
    </cdr:from>
    <cdr:to>
      <cdr:x>0.99483</cdr:x>
      <cdr:y>0.96346</cdr:y>
    </cdr:to>
    <cdr:sp macro="" textlink="">
      <cdr:nvSpPr>
        <cdr:cNvPr id="3" name="文本框 2"/>
        <cdr:cNvSpPr txBox="1"/>
      </cdr:nvSpPr>
      <cdr:spPr>
        <a:xfrm xmlns:a="http://schemas.openxmlformats.org/drawingml/2006/main">
          <a:off x="4267200" y="2495545"/>
          <a:ext cx="555960" cy="2667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100"/>
            <a:t>lgGrPr</a:t>
          </a:r>
          <a:endParaRPr lang="zh-CN" altLang="en-US" sz="1100"/>
        </a:p>
      </cdr:txBody>
    </cdr:sp>
  </cdr:relSizeAnchor>
  <cdr:relSizeAnchor xmlns:cdr="http://schemas.openxmlformats.org/drawingml/2006/chartDrawing">
    <cdr:from>
      <cdr:x>0.07069</cdr:x>
      <cdr:y>0.10299</cdr:y>
    </cdr:from>
    <cdr:to>
      <cdr:x>0.19655</cdr:x>
      <cdr:y>0.21262</cdr:y>
    </cdr:to>
    <cdr:sp macro="" textlink="">
      <cdr:nvSpPr>
        <cdr:cNvPr id="4" name="文本框 3"/>
        <cdr:cNvSpPr txBox="1"/>
      </cdr:nvSpPr>
      <cdr:spPr>
        <a:xfrm xmlns:a="http://schemas.openxmlformats.org/drawingml/2006/main">
          <a:off x="390525" y="295275"/>
          <a:ext cx="695325" cy="314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100"/>
            <a:t>lgNu</a:t>
          </a:r>
          <a:endParaRPr lang="zh-CN" altLang="en-US" sz="1100"/>
        </a:p>
      </cdr:txBody>
    </cdr:sp>
  </cdr:relSizeAnchor>
</c:userShape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Q53"/>
  <sheetViews>
    <sheetView tabSelected="1" topLeftCell="A50" workbookViewId="0">
      <selection activeCell="K66" sqref="K66"/>
    </sheetView>
  </sheetViews>
  <sheetFormatPr baseColWidth="10" defaultColWidth="8.83203125" defaultRowHeight="12" x14ac:dyDescent="0"/>
  <cols>
    <col min="1" max="1" width="8.83203125" style="4"/>
    <col min="2" max="10" width="9.5" style="4" customWidth="1"/>
    <col min="11" max="11" width="8.33203125" style="4" customWidth="1"/>
    <col min="12" max="16384" width="8.83203125" style="4"/>
  </cols>
  <sheetData>
    <row r="3" spans="2:17">
      <c r="B3" s="4" t="s">
        <v>11</v>
      </c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12</v>
      </c>
      <c r="L3" s="4" t="s">
        <v>8</v>
      </c>
      <c r="M3" s="4" t="s">
        <v>13</v>
      </c>
      <c r="N3" s="4" t="s">
        <v>14</v>
      </c>
      <c r="O3" s="4" t="s">
        <v>15</v>
      </c>
      <c r="P3" s="4" t="s">
        <v>9</v>
      </c>
      <c r="Q3" s="4" t="s">
        <v>10</v>
      </c>
    </row>
    <row r="4" spans="2:17">
      <c r="B4" s="4">
        <v>1</v>
      </c>
      <c r="C4" s="4">
        <v>3.476</v>
      </c>
      <c r="D4" s="4">
        <v>3.4580000000000002</v>
      </c>
      <c r="E4" s="4">
        <v>3.5350000000000001</v>
      </c>
      <c r="F4" s="4">
        <v>3.42</v>
      </c>
      <c r="K4" s="5">
        <f>AVERAGE(C4:F4)</f>
        <v>3.4722500000000003</v>
      </c>
      <c r="L4" s="4">
        <v>0.55800000000000005</v>
      </c>
      <c r="M4" s="5">
        <f>(L4+L5+L6+L8+L10+L11)/6</f>
        <v>0.55349999999999999</v>
      </c>
      <c r="N4" s="6">
        <v>82.548913043478265</v>
      </c>
      <c r="O4" s="4">
        <v>16.100000000000001</v>
      </c>
      <c r="P4" s="4">
        <v>4.3780000000000001</v>
      </c>
      <c r="Q4" s="4">
        <v>60.863</v>
      </c>
    </row>
    <row r="5" spans="2:17">
      <c r="B5" s="4">
        <v>2</v>
      </c>
      <c r="C5" s="4">
        <v>3.4580000000000002</v>
      </c>
      <c r="D5" s="4">
        <v>3.6469999999999998</v>
      </c>
      <c r="E5" s="4">
        <v>3.6640000000000001</v>
      </c>
      <c r="F5" s="4">
        <v>3.4649999999999999</v>
      </c>
      <c r="G5" s="4">
        <v>3.407</v>
      </c>
      <c r="H5" s="4">
        <v>3.1850000000000001</v>
      </c>
      <c r="K5" s="5">
        <f>AVERAGE(C5:H5)</f>
        <v>3.4709999999999996</v>
      </c>
      <c r="L5" s="4">
        <v>0.55900000000000005</v>
      </c>
      <c r="M5" s="5">
        <f>M4</f>
        <v>0.55349999999999999</v>
      </c>
      <c r="N5" s="6">
        <v>82.521739130434781</v>
      </c>
      <c r="O5" s="4">
        <v>16.100000000000001</v>
      </c>
      <c r="P5" s="4">
        <v>13.676</v>
      </c>
      <c r="Q5" s="4">
        <v>60.793999999999997</v>
      </c>
    </row>
    <row r="6" spans="2:17">
      <c r="B6" s="4">
        <v>3</v>
      </c>
      <c r="C6" s="4">
        <v>2.484</v>
      </c>
      <c r="D6" s="4">
        <v>2.589</v>
      </c>
      <c r="E6" s="4">
        <v>2.6469999999999998</v>
      </c>
      <c r="F6" s="4">
        <v>2.7240000000000002</v>
      </c>
      <c r="G6" s="4">
        <v>2.7229999999999999</v>
      </c>
      <c r="H6" s="4">
        <v>2.7</v>
      </c>
      <c r="I6" s="4">
        <v>2.5089999999999999</v>
      </c>
      <c r="K6" s="5">
        <f>AVERAGE(C6:I6)</f>
        <v>2.6251428571428574</v>
      </c>
      <c r="L6" s="4">
        <v>0.54500000000000004</v>
      </c>
      <c r="M6" s="5">
        <f t="shared" ref="M6:M11" si="0">M5</f>
        <v>0.55349999999999999</v>
      </c>
      <c r="N6" s="6">
        <v>63.59415584415585</v>
      </c>
      <c r="O6" s="4">
        <v>16.100000000000001</v>
      </c>
      <c r="P6" s="4">
        <v>13.45</v>
      </c>
      <c r="Q6" s="4">
        <v>60.542000000000002</v>
      </c>
    </row>
    <row r="7" spans="2:17">
      <c r="B7" s="4">
        <v>4</v>
      </c>
      <c r="C7" s="4">
        <v>3.0379999999999998</v>
      </c>
      <c r="D7" s="4">
        <v>3.3079999999999998</v>
      </c>
      <c r="E7" s="4">
        <v>3.3140000000000001</v>
      </c>
      <c r="F7" s="4">
        <v>3.3359999999999999</v>
      </c>
      <c r="G7" s="4">
        <v>3.3450000000000002</v>
      </c>
      <c r="H7" s="4">
        <v>3.0939999999999999</v>
      </c>
      <c r="K7" s="5">
        <f>AVERAGE(C7:H7)</f>
        <v>3.2391666666666672</v>
      </c>
      <c r="L7" s="7">
        <v>0.35299999999999998</v>
      </c>
      <c r="M7" s="5">
        <f t="shared" si="0"/>
        <v>0.55349999999999999</v>
      </c>
      <c r="N7" s="6">
        <v>77.403703703703712</v>
      </c>
      <c r="O7" s="4">
        <v>16.100000000000001</v>
      </c>
      <c r="P7" s="4">
        <v>12.157</v>
      </c>
      <c r="Q7" s="4">
        <v>60.83</v>
      </c>
    </row>
    <row r="8" spans="2:17">
      <c r="B8" s="4">
        <v>5</v>
      </c>
      <c r="C8" s="4">
        <v>1.5549999999999999</v>
      </c>
      <c r="D8" s="4">
        <v>1.675</v>
      </c>
      <c r="E8" s="4">
        <v>1.599</v>
      </c>
      <c r="F8" s="4">
        <v>1.48</v>
      </c>
      <c r="K8" s="5">
        <f>AVERAGE(C8:F8)</f>
        <v>1.5772499999999998</v>
      </c>
      <c r="L8" s="4">
        <v>0.56599999999999995</v>
      </c>
      <c r="M8" s="5">
        <f t="shared" si="0"/>
        <v>0.55349999999999999</v>
      </c>
      <c r="N8" s="6">
        <v>39.196428571428569</v>
      </c>
      <c r="O8" s="4">
        <v>16.100000000000001</v>
      </c>
      <c r="P8" s="4">
        <v>28.617000000000001</v>
      </c>
      <c r="Q8" s="4">
        <v>15.206</v>
      </c>
    </row>
    <row r="9" spans="2:17">
      <c r="B9" s="4">
        <v>6</v>
      </c>
      <c r="C9" s="4">
        <v>1.8180000000000001</v>
      </c>
      <c r="D9" s="4">
        <v>1.867</v>
      </c>
      <c r="E9" s="4">
        <v>1.8759999999999999</v>
      </c>
      <c r="F9" s="4">
        <v>1.82</v>
      </c>
      <c r="K9" s="5">
        <f>AVERAGE(C9:F9)</f>
        <v>1.8452500000000001</v>
      </c>
      <c r="M9" s="5">
        <f t="shared" si="0"/>
        <v>0.55349999999999999</v>
      </c>
      <c r="N9" s="6">
        <v>45.540697674418603</v>
      </c>
      <c r="O9" s="4">
        <v>16.100000000000001</v>
      </c>
      <c r="P9" s="4">
        <v>5.4349999999999996</v>
      </c>
      <c r="Q9" s="4">
        <v>15.195</v>
      </c>
    </row>
    <row r="10" spans="2:17">
      <c r="B10" s="4">
        <v>7</v>
      </c>
      <c r="C10" s="4">
        <v>1.528</v>
      </c>
      <c r="D10" s="4">
        <v>1.6619999999999999</v>
      </c>
      <c r="E10" s="4">
        <v>1.6579999999999999</v>
      </c>
      <c r="F10" s="4">
        <v>1.704</v>
      </c>
      <c r="G10" s="4">
        <v>1.7050000000000001</v>
      </c>
      <c r="H10" s="4">
        <v>1.68</v>
      </c>
      <c r="K10" s="5">
        <f>AVERAGE(C10:H10)</f>
        <v>1.6561666666666666</v>
      </c>
      <c r="L10" s="4">
        <v>0.56000000000000005</v>
      </c>
      <c r="M10" s="5">
        <f t="shared" si="0"/>
        <v>0.55349999999999999</v>
      </c>
      <c r="N10" s="6">
        <v>41.075396825396822</v>
      </c>
      <c r="O10" s="4">
        <v>16.100000000000001</v>
      </c>
      <c r="P10" s="4">
        <v>9.1189999999999998</v>
      </c>
      <c r="Q10" s="4">
        <v>15.167999999999999</v>
      </c>
    </row>
    <row r="11" spans="2:17">
      <c r="B11" s="4">
        <v>8</v>
      </c>
      <c r="C11" s="4">
        <v>5.125</v>
      </c>
      <c r="D11" s="4">
        <v>5.6760000000000002</v>
      </c>
      <c r="E11" s="4">
        <v>5.6660000000000004</v>
      </c>
      <c r="F11" s="4">
        <v>5.593</v>
      </c>
      <c r="G11" s="4">
        <v>5.6779999999999999</v>
      </c>
      <c r="H11" s="4">
        <v>5.5149999999999997</v>
      </c>
      <c r="I11" s="4">
        <v>5.2309999999999999</v>
      </c>
      <c r="J11" s="4">
        <v>4.3710000000000004</v>
      </c>
      <c r="K11" s="5">
        <f>AVERAGE(C11:I11)</f>
        <v>5.4977142857142862</v>
      </c>
      <c r="L11" s="4">
        <v>0.53300000000000003</v>
      </c>
      <c r="M11" s="5">
        <f t="shared" si="0"/>
        <v>0.55349999999999999</v>
      </c>
      <c r="N11" s="6">
        <v>125.59821428571429</v>
      </c>
      <c r="O11" s="4">
        <v>16.100000000000001</v>
      </c>
      <c r="P11" s="4">
        <v>27.658000000000001</v>
      </c>
      <c r="Q11" s="4">
        <v>195.88</v>
      </c>
    </row>
    <row r="12" spans="2:17">
      <c r="B12" s="4" t="s">
        <v>16</v>
      </c>
      <c r="N12" s="6"/>
    </row>
    <row r="13" spans="2:17" ht="17" customHeight="1">
      <c r="B13" s="8" t="s">
        <v>11</v>
      </c>
      <c r="C13" s="8">
        <v>1</v>
      </c>
      <c r="D13" s="8">
        <v>2</v>
      </c>
      <c r="E13" s="8">
        <v>3</v>
      </c>
      <c r="F13" s="8">
        <v>4</v>
      </c>
      <c r="G13" s="8">
        <v>5</v>
      </c>
      <c r="H13" s="8">
        <v>6</v>
      </c>
      <c r="I13" s="8">
        <v>7</v>
      </c>
      <c r="J13" s="8">
        <v>8</v>
      </c>
    </row>
    <row r="14" spans="2:17" ht="17" customHeight="1">
      <c r="B14" s="8" t="s">
        <v>17</v>
      </c>
      <c r="C14" s="8">
        <v>0.01</v>
      </c>
      <c r="D14" s="8">
        <v>0.01</v>
      </c>
      <c r="E14" s="8">
        <v>0.01</v>
      </c>
      <c r="F14" s="8">
        <v>0.01</v>
      </c>
      <c r="G14" s="8">
        <v>0.1</v>
      </c>
      <c r="H14" s="8">
        <v>0.01</v>
      </c>
      <c r="I14" s="8">
        <v>0.01</v>
      </c>
      <c r="J14" s="8">
        <v>0.01</v>
      </c>
    </row>
    <row r="15" spans="2:17" ht="17" customHeight="1">
      <c r="B15" s="8" t="s">
        <v>23</v>
      </c>
      <c r="C15" s="8">
        <v>19</v>
      </c>
      <c r="D15" s="8">
        <v>38</v>
      </c>
      <c r="E15" s="8">
        <v>50</v>
      </c>
      <c r="F15" s="8">
        <v>32</v>
      </c>
      <c r="G15" s="8">
        <v>13</v>
      </c>
      <c r="H15" s="8">
        <v>15.8</v>
      </c>
      <c r="I15" s="8">
        <v>25</v>
      </c>
      <c r="J15" s="8">
        <v>86.4</v>
      </c>
    </row>
    <row r="16" spans="2:17" ht="17" customHeight="1">
      <c r="B16" s="8" t="s">
        <v>24</v>
      </c>
      <c r="C16" s="8">
        <v>560</v>
      </c>
      <c r="D16" s="8">
        <v>1190</v>
      </c>
      <c r="E16" s="8">
        <v>1430</v>
      </c>
      <c r="F16" s="8">
        <v>1200</v>
      </c>
      <c r="G16" s="8">
        <v>400</v>
      </c>
      <c r="H16" s="8">
        <v>500</v>
      </c>
      <c r="I16" s="8">
        <v>760</v>
      </c>
      <c r="J16" s="8">
        <v>2271</v>
      </c>
    </row>
    <row r="17" spans="2:10" ht="17" customHeight="1">
      <c r="B17" s="8" t="s">
        <v>21</v>
      </c>
      <c r="C17" s="8">
        <v>0.08</v>
      </c>
      <c r="D17" s="8">
        <v>0.08</v>
      </c>
      <c r="E17" s="8">
        <v>0.08</v>
      </c>
      <c r="F17" s="8">
        <v>0.08</v>
      </c>
      <c r="G17" s="8">
        <v>0.08</v>
      </c>
      <c r="H17" s="8">
        <v>0.08</v>
      </c>
      <c r="I17" s="8">
        <v>0.08</v>
      </c>
      <c r="J17" s="8">
        <v>0.08</v>
      </c>
    </row>
    <row r="18" spans="2:10" ht="17" customHeight="1">
      <c r="B18" s="8" t="s">
        <v>34</v>
      </c>
      <c r="C18" s="8">
        <v>9.81</v>
      </c>
      <c r="D18" s="8">
        <v>9.81</v>
      </c>
      <c r="E18" s="8">
        <v>9.81</v>
      </c>
      <c r="F18" s="8">
        <v>9.81</v>
      </c>
      <c r="G18" s="8">
        <v>9.81</v>
      </c>
      <c r="H18" s="8">
        <v>9.81</v>
      </c>
      <c r="I18" s="8">
        <v>9.81</v>
      </c>
      <c r="J18" s="8">
        <v>9.81</v>
      </c>
    </row>
    <row r="19" spans="2:10" ht="17" customHeight="1">
      <c r="B19" s="8" t="s">
        <v>22</v>
      </c>
      <c r="C19" s="8">
        <v>5.67</v>
      </c>
      <c r="D19" s="8">
        <v>5.67</v>
      </c>
      <c r="E19" s="8">
        <v>5.67</v>
      </c>
      <c r="F19" s="8">
        <v>5.67</v>
      </c>
      <c r="G19" s="8">
        <v>5.67</v>
      </c>
      <c r="H19" s="8">
        <v>5.67</v>
      </c>
      <c r="I19" s="8">
        <v>5.67</v>
      </c>
      <c r="J19" s="8">
        <v>5.67</v>
      </c>
    </row>
    <row r="20" spans="2:10" ht="17" customHeight="1">
      <c r="B20" s="8" t="s">
        <v>0</v>
      </c>
      <c r="C20" s="8">
        <v>3.476</v>
      </c>
      <c r="D20" s="8">
        <v>3.4580000000000002</v>
      </c>
      <c r="E20" s="8">
        <v>2.484</v>
      </c>
      <c r="F20" s="8">
        <v>3.0379999999999998</v>
      </c>
      <c r="G20" s="8">
        <v>1.5549999999999999</v>
      </c>
      <c r="H20" s="8">
        <v>1.8180000000000001</v>
      </c>
      <c r="I20" s="8">
        <v>1.528</v>
      </c>
      <c r="J20" s="8">
        <v>5.125</v>
      </c>
    </row>
    <row r="21" spans="2:10" ht="17" customHeight="1">
      <c r="B21" s="8" t="s">
        <v>1</v>
      </c>
      <c r="C21" s="8">
        <v>3.4580000000000002</v>
      </c>
      <c r="D21" s="8">
        <v>3.6469999999999998</v>
      </c>
      <c r="E21" s="8">
        <v>2.589</v>
      </c>
      <c r="F21" s="8">
        <v>3.3079999999999998</v>
      </c>
      <c r="G21" s="8">
        <v>1.675</v>
      </c>
      <c r="H21" s="8">
        <v>1.867</v>
      </c>
      <c r="I21" s="8">
        <v>1.6619999999999999</v>
      </c>
      <c r="J21" s="8">
        <v>5.6760000000000002</v>
      </c>
    </row>
    <row r="22" spans="2:10" ht="17" customHeight="1">
      <c r="B22" s="8" t="s">
        <v>2</v>
      </c>
      <c r="C22" s="8">
        <v>3.5350000000000001</v>
      </c>
      <c r="D22" s="8">
        <v>3.6640000000000001</v>
      </c>
      <c r="E22" s="8">
        <v>2.6469999999999998</v>
      </c>
      <c r="F22" s="8">
        <v>3.3140000000000001</v>
      </c>
      <c r="G22" s="8">
        <v>1.599</v>
      </c>
      <c r="H22" s="8">
        <v>1.8759999999999999</v>
      </c>
      <c r="I22" s="8">
        <v>1.6579999999999999</v>
      </c>
      <c r="J22" s="8">
        <v>5.6660000000000004</v>
      </c>
    </row>
    <row r="23" spans="2:10" ht="17" customHeight="1">
      <c r="B23" s="8" t="s">
        <v>3</v>
      </c>
      <c r="C23" s="8">
        <v>3.42</v>
      </c>
      <c r="D23" s="8">
        <v>3.4649999999999999</v>
      </c>
      <c r="E23" s="8">
        <v>2.7240000000000002</v>
      </c>
      <c r="F23" s="8">
        <v>3.3359999999999999</v>
      </c>
      <c r="G23" s="8">
        <v>1.48</v>
      </c>
      <c r="H23" s="8">
        <v>1.82</v>
      </c>
      <c r="I23" s="8">
        <v>1.704</v>
      </c>
      <c r="J23" s="8">
        <v>5.593</v>
      </c>
    </row>
    <row r="24" spans="2:10" ht="17" customHeight="1">
      <c r="B24" s="8" t="s">
        <v>4</v>
      </c>
      <c r="C24" s="8"/>
      <c r="D24" s="8">
        <v>3.407</v>
      </c>
      <c r="E24" s="8">
        <v>2.7229999999999999</v>
      </c>
      <c r="F24" s="8">
        <v>3.3450000000000002</v>
      </c>
      <c r="G24" s="8"/>
      <c r="H24" s="8"/>
      <c r="I24" s="8">
        <v>1.7050000000000001</v>
      </c>
      <c r="J24" s="8">
        <v>5.6779999999999999</v>
      </c>
    </row>
    <row r="25" spans="2:10" ht="17" customHeight="1">
      <c r="B25" s="8" t="s">
        <v>5</v>
      </c>
      <c r="C25" s="8"/>
      <c r="D25" s="8">
        <v>3.1850000000000001</v>
      </c>
      <c r="E25" s="8">
        <v>2.7</v>
      </c>
      <c r="F25" s="8">
        <v>3.0939999999999999</v>
      </c>
      <c r="G25" s="8"/>
      <c r="H25" s="8"/>
      <c r="I25" s="8">
        <v>1.68</v>
      </c>
      <c r="J25" s="8">
        <v>5.5149999999999997</v>
      </c>
    </row>
    <row r="26" spans="2:10" ht="17" customHeight="1">
      <c r="B26" s="8" t="s">
        <v>6</v>
      </c>
      <c r="C26" s="8"/>
      <c r="D26" s="8"/>
      <c r="E26" s="8">
        <v>2.5089999999999999</v>
      </c>
      <c r="F26" s="8"/>
      <c r="G26" s="8"/>
      <c r="H26" s="8"/>
      <c r="I26" s="8"/>
      <c r="J26" s="8">
        <v>5.2309999999999999</v>
      </c>
    </row>
    <row r="27" spans="2:10" ht="17" customHeight="1">
      <c r="B27" s="8" t="s">
        <v>7</v>
      </c>
      <c r="C27" s="8"/>
      <c r="D27" s="8"/>
      <c r="E27" s="8"/>
      <c r="F27" s="8"/>
      <c r="G27" s="8"/>
      <c r="H27" s="8"/>
      <c r="I27" s="8"/>
      <c r="J27" s="8">
        <v>4.3710000000000004</v>
      </c>
    </row>
    <row r="28" spans="2:10" ht="17" customHeight="1">
      <c r="B28" s="8" t="s">
        <v>12</v>
      </c>
      <c r="C28" s="10">
        <v>3.4722500000000003</v>
      </c>
      <c r="D28" s="10">
        <v>3.4709999999999996</v>
      </c>
      <c r="E28" s="10">
        <v>2.6251428571428574</v>
      </c>
      <c r="F28" s="10">
        <v>3.2391666666666672</v>
      </c>
      <c r="G28" s="10">
        <v>1.5772499999999998</v>
      </c>
      <c r="H28" s="10">
        <v>1.8452500000000001</v>
      </c>
      <c r="I28" s="10">
        <v>1.6561666666666666</v>
      </c>
      <c r="J28" s="10">
        <v>5.4977142857142862</v>
      </c>
    </row>
    <row r="29" spans="2:10" ht="17" customHeight="1">
      <c r="B29" s="8" t="s">
        <v>8</v>
      </c>
      <c r="C29" s="8">
        <v>0.55800000000000005</v>
      </c>
      <c r="D29" s="8">
        <v>0.55900000000000005</v>
      </c>
      <c r="E29" s="8">
        <v>0.54500000000000004</v>
      </c>
      <c r="F29" s="9">
        <v>0.35299999999999998</v>
      </c>
      <c r="G29" s="8">
        <v>0.56599999999999995</v>
      </c>
      <c r="H29" s="8"/>
      <c r="I29" s="8">
        <v>0.56000000000000005</v>
      </c>
      <c r="J29" s="8">
        <v>0.53300000000000003</v>
      </c>
    </row>
    <row r="30" spans="2:10" ht="17" customHeight="1">
      <c r="B30" s="8" t="s">
        <v>13</v>
      </c>
      <c r="C30" s="10">
        <f>AVERAGE(C29:E29,G29,I29:J29)</f>
        <v>0.55349999999999999</v>
      </c>
      <c r="D30" s="10">
        <f t="shared" ref="D30:J30" si="1">C30</f>
        <v>0.55349999999999999</v>
      </c>
      <c r="E30" s="10">
        <f t="shared" si="1"/>
        <v>0.55349999999999999</v>
      </c>
      <c r="F30" s="10">
        <f t="shared" si="1"/>
        <v>0.55349999999999999</v>
      </c>
      <c r="G30" s="10">
        <f t="shared" si="1"/>
        <v>0.55349999999999999</v>
      </c>
      <c r="H30" s="10">
        <f t="shared" si="1"/>
        <v>0.55349999999999999</v>
      </c>
      <c r="I30" s="10">
        <f t="shared" si="1"/>
        <v>0.55349999999999999</v>
      </c>
      <c r="J30" s="10">
        <f t="shared" si="1"/>
        <v>0.55349999999999999</v>
      </c>
    </row>
    <row r="31" spans="2:10" ht="17" customHeight="1">
      <c r="B31" s="8" t="s">
        <v>14</v>
      </c>
      <c r="C31" s="12">
        <v>82.548913043478265</v>
      </c>
      <c r="D31" s="12">
        <v>82.521739130434781</v>
      </c>
      <c r="E31" s="12">
        <v>63.59415584415585</v>
      </c>
      <c r="F31" s="12">
        <v>77.403703703703712</v>
      </c>
      <c r="G31" s="12">
        <v>39.196428571428569</v>
      </c>
      <c r="H31" s="12">
        <v>45.540697674418603</v>
      </c>
      <c r="I31" s="12">
        <v>41.075396825396822</v>
      </c>
      <c r="J31" s="12">
        <v>125.59821428571429</v>
      </c>
    </row>
    <row r="32" spans="2:10" ht="17" customHeight="1">
      <c r="B32" s="8" t="s">
        <v>19</v>
      </c>
      <c r="C32" s="12">
        <f>C31+273.15</f>
        <v>355.69891304347823</v>
      </c>
      <c r="D32" s="12">
        <f t="shared" ref="D32:J32" si="2">D31+273.15</f>
        <v>355.67173913043473</v>
      </c>
      <c r="E32" s="12">
        <f t="shared" si="2"/>
        <v>336.74415584415584</v>
      </c>
      <c r="F32" s="12">
        <f t="shared" si="2"/>
        <v>350.55370370370372</v>
      </c>
      <c r="G32" s="12">
        <f t="shared" si="2"/>
        <v>312.34642857142853</v>
      </c>
      <c r="H32" s="12">
        <f t="shared" si="2"/>
        <v>318.69069767441857</v>
      </c>
      <c r="I32" s="12">
        <f t="shared" si="2"/>
        <v>314.22539682539679</v>
      </c>
      <c r="J32" s="12">
        <f t="shared" si="2"/>
        <v>398.74821428571425</v>
      </c>
    </row>
    <row r="33" spans="2:10" ht="17" customHeight="1">
      <c r="B33" s="8" t="s">
        <v>15</v>
      </c>
      <c r="C33" s="12">
        <v>12.337499999999997</v>
      </c>
      <c r="D33" s="12">
        <v>12.337499999999997</v>
      </c>
      <c r="E33" s="12">
        <v>12.337499999999997</v>
      </c>
      <c r="F33" s="12">
        <v>12.337499999999997</v>
      </c>
      <c r="G33" s="12">
        <v>12.337499999999997</v>
      </c>
      <c r="H33" s="12">
        <v>12.337499999999997</v>
      </c>
      <c r="I33" s="12">
        <v>12.337499999999997</v>
      </c>
      <c r="J33" s="12">
        <v>12.337499999999997</v>
      </c>
    </row>
    <row r="34" spans="2:10" ht="17" customHeight="1">
      <c r="B34" s="8" t="s">
        <v>20</v>
      </c>
      <c r="C34" s="12">
        <f>C33+273.15</f>
        <v>285.48749999999995</v>
      </c>
      <c r="D34" s="12">
        <f t="shared" ref="D34:J34" si="3">D33+273.15</f>
        <v>285.48749999999995</v>
      </c>
      <c r="E34" s="12">
        <f t="shared" si="3"/>
        <v>285.48749999999995</v>
      </c>
      <c r="F34" s="12">
        <f t="shared" si="3"/>
        <v>285.48749999999995</v>
      </c>
      <c r="G34" s="12">
        <f t="shared" si="3"/>
        <v>285.48749999999995</v>
      </c>
      <c r="H34" s="12">
        <f t="shared" si="3"/>
        <v>285.48749999999995</v>
      </c>
      <c r="I34" s="12">
        <f t="shared" si="3"/>
        <v>285.48749999999995</v>
      </c>
      <c r="J34" s="12">
        <f t="shared" si="3"/>
        <v>285.48749999999995</v>
      </c>
    </row>
    <row r="35" spans="2:10" ht="17" customHeight="1">
      <c r="B35" s="8" t="s">
        <v>29</v>
      </c>
      <c r="C35" s="12">
        <f>(C31+C33)/2</f>
        <v>47.443206521739128</v>
      </c>
      <c r="D35" s="12">
        <f t="shared" ref="D35:J35" si="4">(D31+D33)/2</f>
        <v>47.429619565217386</v>
      </c>
      <c r="E35" s="12">
        <f t="shared" si="4"/>
        <v>37.965827922077921</v>
      </c>
      <c r="F35" s="12">
        <f t="shared" si="4"/>
        <v>44.870601851851852</v>
      </c>
      <c r="G35" s="12">
        <f t="shared" si="4"/>
        <v>25.766964285714284</v>
      </c>
      <c r="H35" s="12">
        <f t="shared" si="4"/>
        <v>28.939098837209301</v>
      </c>
      <c r="I35" s="12">
        <f t="shared" si="4"/>
        <v>26.706448412698411</v>
      </c>
      <c r="J35" s="12">
        <f t="shared" si="4"/>
        <v>68.967857142857142</v>
      </c>
    </row>
    <row r="36" spans="2:10" ht="17" customHeight="1">
      <c r="B36" s="8" t="s">
        <v>30</v>
      </c>
      <c r="C36" s="12">
        <f>C35+273.15</f>
        <v>320.59320652173909</v>
      </c>
      <c r="D36" s="12">
        <f t="shared" ref="D36:J36" si="5">D35+273.15</f>
        <v>320.57961956521734</v>
      </c>
      <c r="E36" s="12">
        <f t="shared" si="5"/>
        <v>311.11582792207787</v>
      </c>
      <c r="F36" s="12">
        <f t="shared" si="5"/>
        <v>318.02060185185184</v>
      </c>
      <c r="G36" s="12">
        <f t="shared" si="5"/>
        <v>298.91696428571424</v>
      </c>
      <c r="H36" s="12">
        <f t="shared" si="5"/>
        <v>302.08909883720929</v>
      </c>
      <c r="I36" s="12">
        <f t="shared" si="5"/>
        <v>299.8564484126984</v>
      </c>
      <c r="J36" s="12">
        <f t="shared" si="5"/>
        <v>342.11785714285713</v>
      </c>
    </row>
    <row r="37" spans="2:10" ht="17" customHeight="1">
      <c r="B37" s="8" t="s">
        <v>31</v>
      </c>
      <c r="C37" s="11">
        <v>2.8121024456521738E-2</v>
      </c>
      <c r="D37" s="11">
        <v>2.8120073369565218E-2</v>
      </c>
      <c r="E37" s="11">
        <v>2.7416924512987009E-2</v>
      </c>
      <c r="F37" s="11">
        <v>2.7940942129629626E-2</v>
      </c>
      <c r="G37" s="11">
        <v>2.6361357142857141E-2</v>
      </c>
      <c r="H37" s="11">
        <v>2.6615127906976746E-2</v>
      </c>
      <c r="I37" s="11">
        <v>2.6436515873015872E-2</v>
      </c>
      <c r="J37" s="11">
        <v>2.9538071428571427E-2</v>
      </c>
    </row>
    <row r="38" spans="2:10" ht="17" customHeight="1">
      <c r="B38" s="8" t="s">
        <v>32</v>
      </c>
      <c r="C38" s="16">
        <v>1.7696877445652172E-5</v>
      </c>
      <c r="D38" s="16">
        <v>1.7695532336956521E-5</v>
      </c>
      <c r="E38" s="16">
        <v>1.6764719480519481E-5</v>
      </c>
      <c r="F38" s="16">
        <v>1.7442189583333336E-5</v>
      </c>
      <c r="G38" s="16">
        <v>1.5602094642857144E-5</v>
      </c>
      <c r="H38" s="16">
        <v>1.5900275290697675E-5</v>
      </c>
      <c r="I38" s="16">
        <v>1.5690406150793651E-5</v>
      </c>
      <c r="J38" s="16">
        <v>1.9911624999999999E-5</v>
      </c>
    </row>
    <row r="39" spans="2:10" ht="17" customHeight="1">
      <c r="B39" s="8" t="s">
        <v>33</v>
      </c>
      <c r="C39" s="11">
        <f>1/C36</f>
        <v>3.1192176866423746E-3</v>
      </c>
      <c r="D39" s="11">
        <f t="shared" ref="D39:J39" si="6">1/D36</f>
        <v>3.1193498867964197E-3</v>
      </c>
      <c r="E39" s="11">
        <f t="shared" si="6"/>
        <v>3.2142369826663407E-3</v>
      </c>
      <c r="F39" s="11">
        <f t="shared" si="6"/>
        <v>3.144450372639206E-3</v>
      </c>
      <c r="G39" s="11">
        <f t="shared" si="6"/>
        <v>3.3454106640938871E-3</v>
      </c>
      <c r="H39" s="11">
        <f t="shared" si="6"/>
        <v>3.3102816481930821E-3</v>
      </c>
      <c r="I39" s="11">
        <f t="shared" si="6"/>
        <v>3.3349291145597778E-3</v>
      </c>
      <c r="J39" s="11">
        <f t="shared" si="6"/>
        <v>2.9229693192613241E-3</v>
      </c>
    </row>
    <row r="40" spans="2:10" ht="17" customHeight="1">
      <c r="B40" s="8" t="s">
        <v>35</v>
      </c>
      <c r="C40" s="10">
        <v>0.69825567934782606</v>
      </c>
      <c r="D40" s="10">
        <v>0.69825703804347816</v>
      </c>
      <c r="E40" s="10">
        <v>0.69940683441558438</v>
      </c>
      <c r="F40" s="10">
        <v>0.69851293981481477</v>
      </c>
      <c r="G40" s="10">
        <v>0.70184660714285707</v>
      </c>
      <c r="H40" s="10">
        <v>0.70121218023255805</v>
      </c>
      <c r="I40" s="10">
        <v>0.7016587103174603</v>
      </c>
      <c r="J40" s="10">
        <v>0.69420642857142856</v>
      </c>
    </row>
    <row r="41" spans="2:10" ht="17" customHeight="1">
      <c r="B41" s="8" t="s">
        <v>9</v>
      </c>
      <c r="C41" s="10">
        <v>4.3780000000000001</v>
      </c>
      <c r="D41" s="10">
        <v>13.676</v>
      </c>
      <c r="E41" s="10">
        <v>13.45</v>
      </c>
      <c r="F41" s="10">
        <v>12.157</v>
      </c>
      <c r="G41" s="10">
        <v>28.617000000000001</v>
      </c>
      <c r="H41" s="10">
        <v>5.4349999999999996</v>
      </c>
      <c r="I41" s="10">
        <v>9.1189999999999998</v>
      </c>
      <c r="J41" s="10">
        <v>27.658000000000001</v>
      </c>
    </row>
    <row r="42" spans="2:10" ht="17" customHeight="1">
      <c r="B42" s="8" t="s">
        <v>10</v>
      </c>
      <c r="C42" s="10">
        <v>60.863</v>
      </c>
      <c r="D42" s="10">
        <v>60.793999999999997</v>
      </c>
      <c r="E42" s="10">
        <v>60.542000000000002</v>
      </c>
      <c r="F42" s="10">
        <v>60.83</v>
      </c>
      <c r="G42" s="10">
        <v>15.206</v>
      </c>
      <c r="H42" s="10">
        <v>15.195</v>
      </c>
      <c r="I42" s="10">
        <v>15.167999999999999</v>
      </c>
      <c r="J42" s="10">
        <v>195.88</v>
      </c>
    </row>
    <row r="43" spans="2:10" ht="17" customHeight="1">
      <c r="B43" s="8" t="s">
        <v>18</v>
      </c>
      <c r="C43" s="10">
        <f>C41*C42/C14/1000</f>
        <v>26.645821399999999</v>
      </c>
      <c r="D43" s="10">
        <f t="shared" ref="D43:J43" si="7">D41*D42/D14/1000</f>
        <v>83.141874399999992</v>
      </c>
      <c r="E43" s="10">
        <f t="shared" si="7"/>
        <v>81.428989999999985</v>
      </c>
      <c r="F43" s="10">
        <f t="shared" si="7"/>
        <v>73.951031</v>
      </c>
      <c r="G43" s="10">
        <f t="shared" si="7"/>
        <v>4.3515010199999997</v>
      </c>
      <c r="H43" s="10">
        <f t="shared" si="7"/>
        <v>8.2584824999999995</v>
      </c>
      <c r="I43" s="10">
        <f t="shared" si="7"/>
        <v>13.831699199999999</v>
      </c>
      <c r="J43" s="10">
        <f t="shared" si="7"/>
        <v>541.764904</v>
      </c>
    </row>
    <row r="44" spans="2:10" ht="17" customHeight="1">
      <c r="B44" s="8" t="s">
        <v>25</v>
      </c>
      <c r="C44" s="10">
        <f>PI()*C15*C16/1000000</f>
        <v>3.3426545834195402E-2</v>
      </c>
      <c r="D44" s="10">
        <f t="shared" ref="D44:J44" si="8">PI()*D15*D16/1000000</f>
        <v>0.14206281979533045</v>
      </c>
      <c r="E44" s="10">
        <f t="shared" si="8"/>
        <v>0.22462387473167023</v>
      </c>
      <c r="F44" s="10">
        <f t="shared" si="8"/>
        <v>0.12063715789784805</v>
      </c>
      <c r="G44" s="10">
        <f t="shared" si="8"/>
        <v>1.6336281798666925E-2</v>
      </c>
      <c r="H44" s="10">
        <f t="shared" si="8"/>
        <v>2.4818581963359367E-2</v>
      </c>
      <c r="I44" s="10">
        <f t="shared" si="8"/>
        <v>5.9690260418206076E-2</v>
      </c>
      <c r="J44" s="10">
        <f t="shared" si="8"/>
        <v>0.61642571756852904</v>
      </c>
    </row>
    <row r="45" spans="2:10" ht="17" customHeight="1">
      <c r="B45" s="8" t="s">
        <v>28</v>
      </c>
      <c r="C45" s="10">
        <f>C17*C19*C44*(C32*C32*C32*C32-C34*C34*C34*C34)/100000000</f>
        <v>1.4199457282270367</v>
      </c>
      <c r="D45" s="10">
        <f t="shared" ref="D45:J45" si="9">D17*D19*D44*(D32*D32*D32*D32-D34*D34*D34*D34)/100000000</f>
        <v>6.0316175098069333</v>
      </c>
      <c r="E45" s="10">
        <f t="shared" si="9"/>
        <v>6.3334826930661574</v>
      </c>
      <c r="F45" s="10">
        <f t="shared" si="9"/>
        <v>4.6286746568409818</v>
      </c>
      <c r="G45" s="10">
        <f t="shared" si="9"/>
        <v>0.21306020550955229</v>
      </c>
      <c r="H45" s="10">
        <f t="shared" si="9"/>
        <v>0.413432615125368</v>
      </c>
      <c r="I45" s="10">
        <f t="shared" si="9"/>
        <v>0.84106156146055222</v>
      </c>
      <c r="J45" s="10">
        <f t="shared" si="9"/>
        <v>52.114644757644569</v>
      </c>
    </row>
    <row r="46" spans="2:10" ht="17" customHeight="1">
      <c r="B46" s="8" t="s">
        <v>26</v>
      </c>
      <c r="C46" s="10">
        <f>(C43-C45)/(C44*(C31-C33))</f>
        <v>10.748479605375953</v>
      </c>
      <c r="D46" s="10">
        <f t="shared" ref="D46:J46" si="10">(D43-D45)/(D44*(D31-D33))</f>
        <v>7.733785511318473</v>
      </c>
      <c r="E46" s="10">
        <f t="shared" si="10"/>
        <v>6.5224051626145911</v>
      </c>
      <c r="F46" s="10">
        <f t="shared" si="10"/>
        <v>8.8315463158182954</v>
      </c>
      <c r="G46" s="10">
        <f t="shared" si="10"/>
        <v>9.4318057539869571</v>
      </c>
      <c r="H46" s="10">
        <f t="shared" si="10"/>
        <v>9.5200413459602853</v>
      </c>
      <c r="I46" s="10">
        <f t="shared" si="10"/>
        <v>7.5730707440380902</v>
      </c>
      <c r="J46" s="10">
        <f t="shared" si="10"/>
        <v>7.0133569496597445</v>
      </c>
    </row>
    <row r="47" spans="2:10" ht="17" customHeight="1">
      <c r="B47" s="8" t="s">
        <v>27</v>
      </c>
      <c r="C47" s="10">
        <f>C43/(C44*(C31-C33))</f>
        <v>11.35350350619804</v>
      </c>
      <c r="D47" s="10">
        <f t="shared" ref="D47:J47" si="11">D43/(D44*(D31-D33))</f>
        <v>8.3387275513065706</v>
      </c>
      <c r="E47" s="10">
        <f t="shared" si="11"/>
        <v>7.0724985263326445</v>
      </c>
      <c r="F47" s="10">
        <f t="shared" si="11"/>
        <v>9.4212313289818663</v>
      </c>
      <c r="G47" s="10">
        <f t="shared" si="11"/>
        <v>9.91738536291464</v>
      </c>
      <c r="H47" s="10">
        <f t="shared" si="11"/>
        <v>10.021745687872814</v>
      </c>
      <c r="I47" s="10">
        <f t="shared" si="11"/>
        <v>8.0633791401506638</v>
      </c>
      <c r="J47" s="10">
        <f t="shared" si="11"/>
        <v>7.759805254528648</v>
      </c>
    </row>
    <row r="48" spans="2:10" ht="26.25" customHeight="1">
      <c r="B48" s="13" t="s">
        <v>41</v>
      </c>
      <c r="C48" s="10">
        <f>-(C46-C47)/C46*100</f>
        <v>5.628925420479729</v>
      </c>
      <c r="D48" s="10">
        <f t="shared" ref="D48:J48" si="12">-(D46-D47)/D46*100</f>
        <v>7.82206901268155</v>
      </c>
      <c r="E48" s="10">
        <f t="shared" si="12"/>
        <v>8.4339035984931261</v>
      </c>
      <c r="F48" s="10">
        <f t="shared" si="12"/>
        <v>6.6770301833482844</v>
      </c>
      <c r="G48" s="10">
        <f t="shared" si="12"/>
        <v>5.1483207096628503</v>
      </c>
      <c r="H48" s="10">
        <f t="shared" si="12"/>
        <v>5.2699807036596633</v>
      </c>
      <c r="I48" s="10">
        <f t="shared" si="12"/>
        <v>6.474367039269632</v>
      </c>
      <c r="J48" s="10">
        <f t="shared" si="12"/>
        <v>10.643238469490957</v>
      </c>
    </row>
    <row r="49" spans="2:10" ht="17" customHeight="1">
      <c r="B49" s="8" t="s">
        <v>36</v>
      </c>
      <c r="C49" s="10">
        <f>C46*C15/1000/C37</f>
        <v>7.2622216455126622</v>
      </c>
      <c r="D49" s="10">
        <f t="shared" ref="D49:J49" si="13">D46*D15/1000/D37</f>
        <v>10.451034233366437</v>
      </c>
      <c r="E49" s="10">
        <f t="shared" si="13"/>
        <v>11.89485195453819</v>
      </c>
      <c r="F49" s="10">
        <f t="shared" si="13"/>
        <v>10.114529452695002</v>
      </c>
      <c r="G49" s="10">
        <f t="shared" si="13"/>
        <v>4.6512580569112973</v>
      </c>
      <c r="H49" s="10">
        <f t="shared" si="13"/>
        <v>5.6515472625905776</v>
      </c>
      <c r="I49" s="10">
        <f t="shared" si="13"/>
        <v>7.1615627986061794</v>
      </c>
      <c r="J49" s="10">
        <f t="shared" si="13"/>
        <v>20.514340007468395</v>
      </c>
    </row>
    <row r="50" spans="2:10" ht="17" customHeight="1">
      <c r="B50" s="8" t="s">
        <v>37</v>
      </c>
      <c r="C50" s="14">
        <f>C18*C39*(C31-C33)*C15*C15*C15/1000000000/C38/C38</f>
        <v>47053.282074667099</v>
      </c>
      <c r="D50" s="14">
        <f t="shared" ref="D50:J50" si="14">D18*D39*(D31-D33)*D15*D15*D15/1000000000/D38/D38</f>
        <v>376353.72590036277</v>
      </c>
      <c r="E50" s="14">
        <f t="shared" si="14"/>
        <v>718810.81091698259</v>
      </c>
      <c r="F50" s="14">
        <f t="shared" si="14"/>
        <v>216180.81531981271</v>
      </c>
      <c r="G50" s="14">
        <f t="shared" si="14"/>
        <v>7955.5712472291743</v>
      </c>
      <c r="H50" s="14">
        <f t="shared" si="14"/>
        <v>16821.930657787016</v>
      </c>
      <c r="I50" s="14">
        <f t="shared" si="14"/>
        <v>59670.853625609008</v>
      </c>
      <c r="J50" s="14">
        <f t="shared" si="14"/>
        <v>5283240.4762074184</v>
      </c>
    </row>
    <row r="51" spans="2:10" ht="17" customHeight="1">
      <c r="B51" s="8" t="s">
        <v>38</v>
      </c>
      <c r="C51" s="15">
        <f>C50*C40</f>
        <v>32855.221440591558</v>
      </c>
      <c r="D51" s="15">
        <f t="shared" ref="D51:J51" si="15">D50*D40</f>
        <v>262791.63790381438</v>
      </c>
      <c r="E51" s="15">
        <f t="shared" si="15"/>
        <v>502741.19380714599</v>
      </c>
      <c r="F51" s="15">
        <f t="shared" si="15"/>
        <v>151005.09684060593</v>
      </c>
      <c r="G51" s="15">
        <f t="shared" si="15"/>
        <v>5583.5906877510633</v>
      </c>
      <c r="H51" s="15">
        <f t="shared" si="15"/>
        <v>11795.742672267743</v>
      </c>
      <c r="I51" s="15">
        <f t="shared" si="15"/>
        <v>41868.574198486764</v>
      </c>
      <c r="J51" s="15">
        <f t="shared" si="15"/>
        <v>3667659.5022719651</v>
      </c>
    </row>
    <row r="52" spans="2:10" ht="17" customHeight="1">
      <c r="B52" s="8" t="s">
        <v>39</v>
      </c>
      <c r="C52" s="10">
        <f>LOG10(C49)</f>
        <v>0.86106949959672174</v>
      </c>
      <c r="D52" s="10">
        <f t="shared" ref="D52:J52" si="16">LOG10(D49)</f>
        <v>1.0191592703149008</v>
      </c>
      <c r="E52" s="10">
        <f t="shared" si="16"/>
        <v>1.0753590410998719</v>
      </c>
      <c r="F52" s="10">
        <f t="shared" si="16"/>
        <v>1.0049456833647099</v>
      </c>
      <c r="G52" s="10">
        <f t="shared" si="16"/>
        <v>0.66757043531533888</v>
      </c>
      <c r="H52" s="10">
        <f t="shared" si="16"/>
        <v>0.75216736385699134</v>
      </c>
      <c r="I52" s="10">
        <f t="shared" si="16"/>
        <v>0.85500780453563729</v>
      </c>
      <c r="J52" s="10">
        <f t="shared" si="16"/>
        <v>1.3120575492958484</v>
      </c>
    </row>
    <row r="53" spans="2:10" ht="17" customHeight="1">
      <c r="B53" s="8" t="s">
        <v>40</v>
      </c>
      <c r="C53" s="10">
        <f>LOG10(C51)</f>
        <v>4.5166043986336071</v>
      </c>
      <c r="D53" s="10">
        <f t="shared" ref="D53:J53" si="17">LOG10(D51)</f>
        <v>5.4196115417476776</v>
      </c>
      <c r="E53" s="10">
        <f t="shared" si="17"/>
        <v>5.7013444720794046</v>
      </c>
      <c r="F53" s="10">
        <f t="shared" si="17"/>
        <v>5.1789916061831924</v>
      </c>
      <c r="G53" s="10">
        <f t="shared" si="17"/>
        <v>3.7469135742701072</v>
      </c>
      <c r="H53" s="10">
        <f t="shared" si="17"/>
        <v>4.0717252897162179</v>
      </c>
      <c r="I53" s="10">
        <f t="shared" si="17"/>
        <v>4.6218881715844988</v>
      </c>
      <c r="J53" s="10">
        <f t="shared" si="17"/>
        <v>6.5643890098909949</v>
      </c>
    </row>
  </sheetData>
  <phoneticPr fontId="1" type="noConversion"/>
  <pageMargins left="0.7" right="0.7" top="0.75" bottom="0.75" header="0.3" footer="0.3"/>
  <pageSetup paperSize="9" orientation="portrait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opLeftCell="A21" workbookViewId="0">
      <selection activeCell="H38" sqref="H38:H45"/>
    </sheetView>
  </sheetViews>
  <sheetFormatPr baseColWidth="10" defaultRowHeight="14" x14ac:dyDescent="0"/>
  <cols>
    <col min="7" max="7" width="12.5" bestFit="1" customWidth="1"/>
  </cols>
  <sheetData>
    <row r="1" spans="1:8">
      <c r="A1">
        <v>3.4722500000000003</v>
      </c>
    </row>
    <row r="2" spans="1:8">
      <c r="A2">
        <v>3.4709999999999996</v>
      </c>
    </row>
    <row r="3" spans="1:8">
      <c r="A3">
        <v>2.6251428571428574</v>
      </c>
    </row>
    <row r="4" spans="1:8">
      <c r="A4">
        <v>3.2391666666666672</v>
      </c>
    </row>
    <row r="5" spans="1:8">
      <c r="A5">
        <v>1.5772499999999998</v>
      </c>
    </row>
    <row r="6" spans="1:8">
      <c r="A6">
        <v>1.8452500000000001</v>
      </c>
    </row>
    <row r="7" spans="1:8">
      <c r="A7">
        <v>1.6561666666666666</v>
      </c>
    </row>
    <row r="8" spans="1:8">
      <c r="A8">
        <v>5.4977142857142862</v>
      </c>
    </row>
    <row r="9" spans="1:8">
      <c r="A9">
        <v>47.443206521739128</v>
      </c>
      <c r="B9">
        <v>47.429619565217386</v>
      </c>
      <c r="C9">
        <v>37.965827922077921</v>
      </c>
      <c r="D9">
        <v>44.870601851851852</v>
      </c>
      <c r="E9">
        <v>25.766964285714284</v>
      </c>
      <c r="F9">
        <v>28.939098837209301</v>
      </c>
      <c r="G9">
        <v>26.706448412698411</v>
      </c>
      <c r="H9">
        <v>68.967857142857142</v>
      </c>
    </row>
    <row r="12" spans="1:8">
      <c r="A12">
        <v>30</v>
      </c>
      <c r="B12">
        <v>40</v>
      </c>
      <c r="C12">
        <v>16</v>
      </c>
      <c r="D12">
        <v>16.96</v>
      </c>
      <c r="E12" s="1">
        <v>37.411918604651163</v>
      </c>
      <c r="F12" s="1">
        <f t="shared" ref="F12:F45" si="0">(D12-C12)*(E12-A12)/(B12-A12)+C12</f>
        <v>16.711544186046513</v>
      </c>
      <c r="G12">
        <v>16.711544186046513</v>
      </c>
    </row>
    <row r="13" spans="1:8">
      <c r="A13">
        <v>3.4470000000000001</v>
      </c>
      <c r="B13">
        <v>3.4929999999999999</v>
      </c>
      <c r="C13">
        <v>82</v>
      </c>
      <c r="D13">
        <v>83</v>
      </c>
      <c r="E13">
        <v>3.4722500000000003</v>
      </c>
      <c r="F13" s="1">
        <f t="shared" si="0"/>
        <v>82.548913043478265</v>
      </c>
      <c r="G13">
        <v>82.548913043478265</v>
      </c>
    </row>
    <row r="14" spans="1:8">
      <c r="A14">
        <v>3.4470000000000001</v>
      </c>
      <c r="B14">
        <v>3.4929999999999999</v>
      </c>
      <c r="C14">
        <v>82</v>
      </c>
      <c r="D14">
        <v>83</v>
      </c>
      <c r="E14">
        <v>3.4709999999999996</v>
      </c>
      <c r="F14" s="1">
        <f t="shared" si="0"/>
        <v>82.521739130434781</v>
      </c>
      <c r="G14">
        <v>82.521739130434781</v>
      </c>
    </row>
    <row r="15" spans="1:8">
      <c r="A15">
        <v>2.5990000000000002</v>
      </c>
      <c r="B15">
        <v>2.6429999999999998</v>
      </c>
      <c r="C15">
        <v>63</v>
      </c>
      <c r="D15">
        <v>64</v>
      </c>
      <c r="E15">
        <v>2.6251428571428574</v>
      </c>
      <c r="F15" s="1">
        <f t="shared" si="0"/>
        <v>63.59415584415585</v>
      </c>
      <c r="G15">
        <v>63.59415584415585</v>
      </c>
    </row>
    <row r="16" spans="1:8">
      <c r="A16">
        <v>3.2210000000000001</v>
      </c>
      <c r="B16">
        <v>3.266</v>
      </c>
      <c r="C16">
        <v>77</v>
      </c>
      <c r="D16">
        <v>78</v>
      </c>
      <c r="E16">
        <v>3.2391666666666672</v>
      </c>
      <c r="F16" s="1">
        <f t="shared" si="0"/>
        <v>77.403703703703712</v>
      </c>
      <c r="G16">
        <v>77.403703703703712</v>
      </c>
    </row>
    <row r="17" spans="1:8">
      <c r="A17">
        <v>1.569</v>
      </c>
      <c r="B17">
        <v>1.611</v>
      </c>
      <c r="C17">
        <v>39</v>
      </c>
      <c r="D17">
        <v>40</v>
      </c>
      <c r="E17">
        <v>1.5772499999999998</v>
      </c>
      <c r="F17" s="1">
        <f t="shared" si="0"/>
        <v>39.196428571428569</v>
      </c>
      <c r="G17">
        <v>39.196428571428569</v>
      </c>
    </row>
    <row r="18" spans="1:8">
      <c r="A18">
        <v>1.8220000000000001</v>
      </c>
      <c r="B18" s="2">
        <v>1.865</v>
      </c>
      <c r="C18">
        <v>45</v>
      </c>
      <c r="D18">
        <v>46</v>
      </c>
      <c r="E18">
        <v>1.8452500000000001</v>
      </c>
      <c r="F18" s="1">
        <f t="shared" si="0"/>
        <v>45.540697674418603</v>
      </c>
      <c r="G18">
        <v>45.540697674418603</v>
      </c>
    </row>
    <row r="19" spans="1:8">
      <c r="A19">
        <v>1.653</v>
      </c>
      <c r="B19">
        <v>1.6950000000000001</v>
      </c>
      <c r="C19">
        <v>41</v>
      </c>
      <c r="D19">
        <v>42</v>
      </c>
      <c r="E19">
        <v>1.6561666666666666</v>
      </c>
      <c r="F19" s="1">
        <f t="shared" si="0"/>
        <v>41.075396825396822</v>
      </c>
      <c r="G19">
        <v>41.075396825396822</v>
      </c>
    </row>
    <row r="20" spans="1:8">
      <c r="A20">
        <v>5.4690000000000003</v>
      </c>
      <c r="B20">
        <v>5.5170000000000003</v>
      </c>
      <c r="C20">
        <v>125</v>
      </c>
      <c r="D20">
        <v>126</v>
      </c>
      <c r="E20">
        <v>5.4977142857142862</v>
      </c>
      <c r="F20" s="1">
        <f t="shared" si="0"/>
        <v>125.59821428571429</v>
      </c>
      <c r="G20">
        <v>125.59821428571429</v>
      </c>
    </row>
    <row r="21" spans="1:8">
      <c r="A21">
        <v>0.54900000000000004</v>
      </c>
      <c r="B21">
        <v>0.58899999999999997</v>
      </c>
      <c r="C21">
        <v>12</v>
      </c>
      <c r="D21">
        <v>15</v>
      </c>
      <c r="E21">
        <v>0.55349999999999999</v>
      </c>
      <c r="F21" s="1">
        <f t="shared" si="0"/>
        <v>12.337499999999997</v>
      </c>
      <c r="G21">
        <v>12.337499999999997</v>
      </c>
    </row>
    <row r="22" spans="1:8">
      <c r="A22">
        <v>40</v>
      </c>
      <c r="B22">
        <v>50</v>
      </c>
      <c r="C22">
        <v>2.76</v>
      </c>
      <c r="D22">
        <v>2.83</v>
      </c>
      <c r="E22">
        <v>47.443206521739128</v>
      </c>
      <c r="F22" s="1">
        <f t="shared" si="0"/>
        <v>2.8121024456521737</v>
      </c>
      <c r="G22">
        <f>F22/100</f>
        <v>2.8121024456521738E-2</v>
      </c>
      <c r="H22">
        <v>2.8121024456521738E-2</v>
      </c>
    </row>
    <row r="23" spans="1:8">
      <c r="A23">
        <v>40</v>
      </c>
      <c r="B23">
        <v>50</v>
      </c>
      <c r="C23">
        <v>2.76</v>
      </c>
      <c r="D23">
        <v>2.83</v>
      </c>
      <c r="E23">
        <v>47.429619565217386</v>
      </c>
      <c r="F23" s="1">
        <f t="shared" si="0"/>
        <v>2.8120073369565217</v>
      </c>
      <c r="G23">
        <f t="shared" ref="G23:G30" si="1">F23/100</f>
        <v>2.8120073369565218E-2</v>
      </c>
      <c r="H23">
        <v>2.8120073369565218E-2</v>
      </c>
    </row>
    <row r="24" spans="1:8">
      <c r="A24">
        <v>30</v>
      </c>
      <c r="B24">
        <v>40</v>
      </c>
      <c r="C24">
        <v>2.67</v>
      </c>
      <c r="D24">
        <v>2.76</v>
      </c>
      <c r="E24">
        <v>37.965827922077921</v>
      </c>
      <c r="F24" s="1">
        <f t="shared" si="0"/>
        <v>2.7416924512987011</v>
      </c>
      <c r="G24">
        <f t="shared" si="1"/>
        <v>2.7416924512987009E-2</v>
      </c>
      <c r="H24">
        <v>2.7416924512987009E-2</v>
      </c>
    </row>
    <row r="25" spans="1:8">
      <c r="A25">
        <v>40</v>
      </c>
      <c r="B25">
        <v>50</v>
      </c>
      <c r="C25">
        <v>2.76</v>
      </c>
      <c r="D25">
        <v>2.83</v>
      </c>
      <c r="E25">
        <v>44.870601851851852</v>
      </c>
      <c r="F25" s="1">
        <f t="shared" si="0"/>
        <v>2.7940942129629627</v>
      </c>
      <c r="G25">
        <f t="shared" si="1"/>
        <v>2.7940942129629626E-2</v>
      </c>
      <c r="H25">
        <v>2.7940942129629626E-2</v>
      </c>
    </row>
    <row r="26" spans="1:8">
      <c r="A26">
        <v>20</v>
      </c>
      <c r="B26">
        <v>30</v>
      </c>
      <c r="C26">
        <v>2.59</v>
      </c>
      <c r="D26">
        <v>2.67</v>
      </c>
      <c r="E26">
        <v>25.766964285714284</v>
      </c>
      <c r="F26" s="1">
        <f t="shared" si="0"/>
        <v>2.636135714285714</v>
      </c>
      <c r="G26">
        <f t="shared" si="1"/>
        <v>2.6361357142857141E-2</v>
      </c>
      <c r="H26">
        <v>2.6361357142857141E-2</v>
      </c>
    </row>
    <row r="27" spans="1:8">
      <c r="A27">
        <v>20</v>
      </c>
      <c r="B27">
        <v>30</v>
      </c>
      <c r="C27">
        <v>2.59</v>
      </c>
      <c r="D27">
        <v>2.67</v>
      </c>
      <c r="E27">
        <v>28.939098837209301</v>
      </c>
      <c r="F27" s="1">
        <f t="shared" si="0"/>
        <v>2.6615127906976745</v>
      </c>
      <c r="G27">
        <f t="shared" si="1"/>
        <v>2.6615127906976746E-2</v>
      </c>
      <c r="H27">
        <v>2.6615127906976746E-2</v>
      </c>
    </row>
    <row r="28" spans="1:8">
      <c r="A28">
        <v>20</v>
      </c>
      <c r="B28">
        <v>30</v>
      </c>
      <c r="C28">
        <v>2.59</v>
      </c>
      <c r="D28">
        <v>2.67</v>
      </c>
      <c r="E28">
        <v>26.706448412698411</v>
      </c>
      <c r="F28" s="1">
        <f t="shared" si="0"/>
        <v>2.6436515873015871</v>
      </c>
      <c r="G28">
        <f t="shared" si="1"/>
        <v>2.6436515873015872E-2</v>
      </c>
      <c r="H28">
        <v>2.6436515873015872E-2</v>
      </c>
    </row>
    <row r="29" spans="1:8">
      <c r="A29">
        <v>60</v>
      </c>
      <c r="B29">
        <v>70</v>
      </c>
      <c r="C29">
        <v>2.9</v>
      </c>
      <c r="D29">
        <v>2.96</v>
      </c>
      <c r="E29">
        <v>68.967857142857142</v>
      </c>
      <c r="F29" s="1">
        <f t="shared" si="0"/>
        <v>2.9538071428571429</v>
      </c>
      <c r="G29">
        <f t="shared" si="1"/>
        <v>2.9538071428571427E-2</v>
      </c>
      <c r="H29">
        <v>2.9538071428571427E-2</v>
      </c>
    </row>
    <row r="30" spans="1:8">
      <c r="A30">
        <v>40</v>
      </c>
      <c r="B30">
        <v>50</v>
      </c>
      <c r="C30">
        <v>16.96</v>
      </c>
      <c r="D30">
        <v>17.95</v>
      </c>
      <c r="E30">
        <v>47.443206521739128</v>
      </c>
      <c r="F30" s="1">
        <f t="shared" si="0"/>
        <v>17.696877445652174</v>
      </c>
      <c r="G30">
        <f>F30/1000000</f>
        <v>1.7696877445652172E-5</v>
      </c>
      <c r="H30">
        <v>1.7696877445652172E-5</v>
      </c>
    </row>
    <row r="31" spans="1:8">
      <c r="A31">
        <v>40</v>
      </c>
      <c r="B31">
        <v>50</v>
      </c>
      <c r="C31">
        <v>16.96</v>
      </c>
      <c r="D31">
        <v>17.95</v>
      </c>
      <c r="E31">
        <v>47.429619565217386</v>
      </c>
      <c r="F31" s="1">
        <f t="shared" si="0"/>
        <v>17.695532336956521</v>
      </c>
      <c r="G31">
        <f t="shared" ref="G31:G38" si="2">F31/1000000</f>
        <v>1.7695532336956521E-5</v>
      </c>
      <c r="H31">
        <v>1.7695532336956521E-5</v>
      </c>
    </row>
    <row r="32" spans="1:8">
      <c r="A32">
        <v>30</v>
      </c>
      <c r="B32">
        <v>40</v>
      </c>
      <c r="C32">
        <v>16</v>
      </c>
      <c r="D32">
        <v>16.96</v>
      </c>
      <c r="E32">
        <v>37.965827922077921</v>
      </c>
      <c r="F32" s="1">
        <f t="shared" si="0"/>
        <v>16.764719480519481</v>
      </c>
      <c r="G32">
        <f t="shared" si="2"/>
        <v>1.6764719480519481E-5</v>
      </c>
      <c r="H32">
        <v>1.6764719480519481E-5</v>
      </c>
    </row>
    <row r="33" spans="1:8">
      <c r="A33">
        <v>40</v>
      </c>
      <c r="B33">
        <v>50</v>
      </c>
      <c r="C33">
        <v>16.96</v>
      </c>
      <c r="D33">
        <v>17.95</v>
      </c>
      <c r="E33">
        <v>44.870601851851852</v>
      </c>
      <c r="F33" s="1">
        <f t="shared" si="0"/>
        <v>17.442189583333334</v>
      </c>
      <c r="G33">
        <f t="shared" si="2"/>
        <v>1.7442189583333336E-5</v>
      </c>
      <c r="H33">
        <v>1.7442189583333336E-5</v>
      </c>
    </row>
    <row r="34" spans="1:8">
      <c r="A34">
        <v>20</v>
      </c>
      <c r="B34">
        <v>30</v>
      </c>
      <c r="C34">
        <v>15.06</v>
      </c>
      <c r="D34">
        <v>16</v>
      </c>
      <c r="E34">
        <v>25.766964285714284</v>
      </c>
      <c r="F34" s="1">
        <f t="shared" si="0"/>
        <v>15.602094642857143</v>
      </c>
      <c r="G34">
        <f t="shared" si="2"/>
        <v>1.5602094642857144E-5</v>
      </c>
      <c r="H34">
        <v>1.5602094642857144E-5</v>
      </c>
    </row>
    <row r="35" spans="1:8">
      <c r="A35">
        <v>20</v>
      </c>
      <c r="B35">
        <v>30</v>
      </c>
      <c r="C35">
        <v>15.06</v>
      </c>
      <c r="D35">
        <v>16</v>
      </c>
      <c r="E35">
        <v>28.939098837209301</v>
      </c>
      <c r="F35" s="1">
        <f t="shared" si="0"/>
        <v>15.900275290697675</v>
      </c>
      <c r="G35">
        <f t="shared" si="2"/>
        <v>1.5900275290697675E-5</v>
      </c>
      <c r="H35">
        <v>1.5900275290697675E-5</v>
      </c>
    </row>
    <row r="36" spans="1:8">
      <c r="A36">
        <v>20</v>
      </c>
      <c r="B36">
        <v>30</v>
      </c>
      <c r="C36">
        <v>15.06</v>
      </c>
      <c r="D36">
        <v>16</v>
      </c>
      <c r="E36">
        <v>26.706448412698411</v>
      </c>
      <c r="F36" s="1">
        <f t="shared" si="0"/>
        <v>15.690406150793651</v>
      </c>
      <c r="G36">
        <f t="shared" si="2"/>
        <v>1.5690406150793651E-5</v>
      </c>
      <c r="H36">
        <v>1.5690406150793651E-5</v>
      </c>
    </row>
    <row r="37" spans="1:8">
      <c r="A37">
        <v>60</v>
      </c>
      <c r="B37">
        <v>70</v>
      </c>
      <c r="C37">
        <v>18.97</v>
      </c>
      <c r="D37">
        <v>20.02</v>
      </c>
      <c r="E37">
        <v>68.967857142857142</v>
      </c>
      <c r="F37" s="1">
        <f t="shared" si="0"/>
        <v>19.911625000000001</v>
      </c>
      <c r="G37">
        <f t="shared" si="2"/>
        <v>1.9911624999999999E-5</v>
      </c>
      <c r="H37">
        <v>1.9911624999999999E-5</v>
      </c>
    </row>
    <row r="38" spans="1:8">
      <c r="A38">
        <v>40</v>
      </c>
      <c r="B38">
        <v>50</v>
      </c>
      <c r="C38">
        <v>0.69899999999999995</v>
      </c>
      <c r="D38">
        <v>0.69799999999999995</v>
      </c>
      <c r="E38">
        <v>47.443206521739128</v>
      </c>
      <c r="F38" s="3">
        <f t="shared" si="0"/>
        <v>0.69825567934782606</v>
      </c>
      <c r="G38">
        <f t="shared" si="2"/>
        <v>6.9825567934782604E-7</v>
      </c>
      <c r="H38" s="3">
        <v>0.69825567934782606</v>
      </c>
    </row>
    <row r="39" spans="1:8">
      <c r="A39">
        <v>40</v>
      </c>
      <c r="B39">
        <v>50</v>
      </c>
      <c r="C39">
        <v>0.69899999999999995</v>
      </c>
      <c r="D39">
        <v>0.69799999999999995</v>
      </c>
      <c r="E39">
        <v>47.429619565217386</v>
      </c>
      <c r="F39" s="3">
        <f t="shared" si="0"/>
        <v>0.69825703804347816</v>
      </c>
      <c r="H39" s="3">
        <v>0.69825703804347816</v>
      </c>
    </row>
    <row r="40" spans="1:8">
      <c r="A40">
        <v>30</v>
      </c>
      <c r="B40">
        <v>40</v>
      </c>
      <c r="C40">
        <v>0.70099999999999996</v>
      </c>
      <c r="D40">
        <v>0.69899999999999995</v>
      </c>
      <c r="E40">
        <v>37.965827922077921</v>
      </c>
      <c r="F40" s="3">
        <f t="shared" si="0"/>
        <v>0.69940683441558438</v>
      </c>
      <c r="H40" s="3">
        <v>0.69940683441558438</v>
      </c>
    </row>
    <row r="41" spans="1:8">
      <c r="A41">
        <v>40</v>
      </c>
      <c r="B41">
        <v>50</v>
      </c>
      <c r="C41">
        <v>0.69899999999999995</v>
      </c>
      <c r="D41">
        <v>0.69799999999999995</v>
      </c>
      <c r="E41">
        <v>44.870601851851852</v>
      </c>
      <c r="F41" s="3">
        <f t="shared" si="0"/>
        <v>0.69851293981481477</v>
      </c>
      <c r="H41" s="3">
        <v>0.69851293981481477</v>
      </c>
    </row>
    <row r="42" spans="1:8">
      <c r="A42">
        <v>20</v>
      </c>
      <c r="B42">
        <v>30</v>
      </c>
      <c r="C42">
        <v>0.70299999999999996</v>
      </c>
      <c r="D42">
        <v>0.70099999999999996</v>
      </c>
      <c r="E42">
        <v>25.766964285714284</v>
      </c>
      <c r="F42" s="3">
        <f t="shared" si="0"/>
        <v>0.70184660714285707</v>
      </c>
      <c r="H42" s="3">
        <v>0.70184660714285707</v>
      </c>
    </row>
    <row r="43" spans="1:8">
      <c r="A43">
        <v>20</v>
      </c>
      <c r="B43">
        <v>30</v>
      </c>
      <c r="C43">
        <v>0.70299999999999996</v>
      </c>
      <c r="D43">
        <v>0.70099999999999996</v>
      </c>
      <c r="E43">
        <v>28.939098837209301</v>
      </c>
      <c r="F43" s="3">
        <f t="shared" si="0"/>
        <v>0.70121218023255805</v>
      </c>
      <c r="H43" s="3">
        <v>0.70121218023255805</v>
      </c>
    </row>
    <row r="44" spans="1:8">
      <c r="A44">
        <v>20</v>
      </c>
      <c r="B44">
        <v>30</v>
      </c>
      <c r="C44">
        <v>0.70299999999999996</v>
      </c>
      <c r="D44">
        <v>0.70099999999999996</v>
      </c>
      <c r="E44">
        <v>26.706448412698411</v>
      </c>
      <c r="F44" s="3">
        <f t="shared" si="0"/>
        <v>0.7016587103174603</v>
      </c>
      <c r="H44" s="3">
        <v>0.7016587103174603</v>
      </c>
    </row>
    <row r="45" spans="1:8">
      <c r="A45">
        <v>60</v>
      </c>
      <c r="B45">
        <v>70</v>
      </c>
      <c r="C45">
        <v>0.69599999999999995</v>
      </c>
      <c r="D45">
        <v>0.69399999999999995</v>
      </c>
      <c r="E45">
        <v>68.967857142857142</v>
      </c>
      <c r="F45" s="3">
        <f t="shared" si="0"/>
        <v>0.69420642857142856</v>
      </c>
      <c r="H45" s="3">
        <v>0.69420642857142856</v>
      </c>
    </row>
  </sheetData>
  <phoneticPr fontId="1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工作表1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2014-12-12T12:24:18Z</dcterms:modified>
</cp:coreProperties>
</file>