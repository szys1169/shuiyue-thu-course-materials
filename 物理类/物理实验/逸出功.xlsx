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114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315"/>
</workbook>
</file>

<file path=xl/calcChain.xml><?xml version="1.0" encoding="utf-8"?>
<calcChain xmlns="http://schemas.openxmlformats.org/spreadsheetml/2006/main">
  <c r="G25" i="1" l="1"/>
  <c r="G26" i="1"/>
  <c r="G27" i="1"/>
  <c r="G28" i="1"/>
  <c r="G29" i="1"/>
  <c r="G24" i="1"/>
  <c r="H17" i="1"/>
  <c r="G16" i="1"/>
  <c r="H16" i="1"/>
  <c r="K16" i="1" l="1"/>
  <c r="L16" i="1"/>
  <c r="M16" i="1"/>
  <c r="N16" i="1"/>
  <c r="O16" i="1"/>
  <c r="P16" i="1"/>
  <c r="K17" i="1"/>
  <c r="L17" i="1"/>
  <c r="M17" i="1"/>
  <c r="N17" i="1"/>
  <c r="O17" i="1"/>
  <c r="P17" i="1"/>
  <c r="K18" i="1"/>
  <c r="L18" i="1"/>
  <c r="M18" i="1"/>
  <c r="N18" i="1"/>
  <c r="O18" i="1"/>
  <c r="P18" i="1"/>
  <c r="K19" i="1"/>
  <c r="L19" i="1"/>
  <c r="M19" i="1"/>
  <c r="N19" i="1"/>
  <c r="O19" i="1"/>
  <c r="P19" i="1"/>
  <c r="K20" i="1"/>
  <c r="L20" i="1"/>
  <c r="M20" i="1"/>
  <c r="N20" i="1"/>
  <c r="O20" i="1"/>
  <c r="P20" i="1"/>
  <c r="K21" i="1"/>
  <c r="L21" i="1"/>
  <c r="M21" i="1"/>
  <c r="N21" i="1"/>
  <c r="O21" i="1"/>
  <c r="P21" i="1"/>
  <c r="J17" i="1"/>
  <c r="J18" i="1"/>
  <c r="J19" i="1"/>
  <c r="J20" i="1"/>
  <c r="J21" i="1"/>
  <c r="J16" i="1"/>
  <c r="C6" i="1" l="1"/>
  <c r="C7" i="1"/>
  <c r="C8" i="1"/>
  <c r="C9" i="1"/>
  <c r="C10" i="1"/>
  <c r="C11" i="1"/>
  <c r="C5" i="1"/>
  <c r="F21" i="1" l="1"/>
  <c r="D21" i="1"/>
  <c r="C21" i="1"/>
  <c r="F20" i="1"/>
  <c r="D20" i="1" s="1"/>
  <c r="C20" i="1"/>
  <c r="F19" i="1"/>
  <c r="D19" i="1" s="1"/>
  <c r="C19" i="1"/>
  <c r="F18" i="1"/>
  <c r="C18" i="1"/>
  <c r="F17" i="1"/>
  <c r="D17" i="1" s="1"/>
  <c r="C17" i="1"/>
  <c r="F16" i="1"/>
  <c r="C16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D16" i="1" l="1"/>
  <c r="B24" i="1" s="1"/>
  <c r="C24" i="1" s="1"/>
  <c r="D24" i="1" s="1"/>
  <c r="D18" i="1"/>
  <c r="B14" i="1"/>
  <c r="C14" i="1" s="1"/>
  <c r="A14" i="1"/>
</calcChain>
</file>

<file path=xl/sharedStrings.xml><?xml version="1.0" encoding="utf-8"?>
<sst xmlns="http://schemas.openxmlformats.org/spreadsheetml/2006/main" count="24" uniqueCount="24">
  <si>
    <t>Ue/mv毫伏</t>
    <phoneticPr fontId="1" type="noConversion"/>
  </si>
  <si>
    <t>Ua/V伏</t>
    <phoneticPr fontId="1" type="noConversion"/>
  </si>
  <si>
    <t>sqrt(Ua)</t>
    <phoneticPr fontId="1" type="noConversion"/>
  </si>
  <si>
    <t>log10(Ie')</t>
    <phoneticPr fontId="1" type="noConversion"/>
  </si>
  <si>
    <t>将log10(Ie')与sqrt(Ua)拟合</t>
  </si>
  <si>
    <t>Ie'/mA毫安</t>
    <phoneticPr fontId="1" type="noConversion"/>
  </si>
  <si>
    <t>Ie/mA毫安</t>
    <phoneticPr fontId="1" type="noConversion"/>
  </si>
  <si>
    <t>Ie/mA毫安</t>
    <phoneticPr fontId="1" type="noConversion"/>
  </si>
  <si>
    <t>拟合系数R</t>
    <phoneticPr fontId="1" type="noConversion"/>
  </si>
  <si>
    <t>截距Log10(Ie)</t>
    <phoneticPr fontId="1" type="noConversion"/>
  </si>
  <si>
    <t>If/A安</t>
    <phoneticPr fontId="1" type="noConversion"/>
  </si>
  <si>
    <t>T/K</t>
    <phoneticPr fontId="1" type="noConversion"/>
  </si>
  <si>
    <t>Ie/A安</t>
    <phoneticPr fontId="1" type="noConversion"/>
  </si>
  <si>
    <t>1/T</t>
    <phoneticPr fontId="1" type="noConversion"/>
  </si>
  <si>
    <t>Log10(Ie/T^2)</t>
    <phoneticPr fontId="1" type="noConversion"/>
  </si>
  <si>
    <t>再次对斜率进行拟合</t>
    <phoneticPr fontId="1" type="noConversion"/>
  </si>
  <si>
    <t>Slope</t>
    <phoneticPr fontId="1" type="noConversion"/>
  </si>
  <si>
    <t>金属的逸出功/J</t>
    <phoneticPr fontId="1" type="noConversion"/>
  </si>
  <si>
    <t>5.14逸出功的测量实验</t>
    <phoneticPr fontId="1" type="noConversion"/>
  </si>
  <si>
    <t>逸出电位/V</t>
    <phoneticPr fontId="1" type="noConversion"/>
  </si>
  <si>
    <t>If</t>
    <phoneticPr fontId="1" type="noConversion"/>
  </si>
  <si>
    <t>Ie mA</t>
    <phoneticPr fontId="1" type="noConversion"/>
  </si>
  <si>
    <t>Ie</t>
    <phoneticPr fontId="1" type="noConversion"/>
  </si>
  <si>
    <t>Ie/T^2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</si>
</sst>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/>
      <top/>
      <bottom style="medium">
        <color rgb="FFFFFF00"/>
      </bottom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7" xfId="0" applyFont="1" applyBorder="1"/>
    <xf numFmtId="0" fontId="0" fillId="0" borderId="18" xfId="0" applyBorder="1"/>
    <xf numFmtId="0" fontId="4" fillId="0" borderId="19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逸出功测量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9057961504811899"/>
                  <c:y val="-0.33254192184310294"/>
                </c:manualLayout>
              </c:layout>
              <c:numFmt formatCode="General" sourceLinked="0"/>
            </c:trendlineLbl>
          </c:trendline>
          <c:xVal>
            <c:numRef>
              <c:f>Sheet1!$C$16:$C$21</c:f>
              <c:numCache>
                <c:formatCode>General</c:formatCode>
                <c:ptCount val="6"/>
                <c:pt idx="0">
                  <c:v>5.7937427578215526E-4</c:v>
                </c:pt>
                <c:pt idx="1">
                  <c:v>5.5803571428571425E-4</c:v>
                </c:pt>
                <c:pt idx="2">
                  <c:v>5.3642313056538994E-4</c:v>
                </c:pt>
                <c:pt idx="3">
                  <c:v>5.1797368693670361E-4</c:v>
                </c:pt>
                <c:pt idx="4">
                  <c:v>5.0205843960236969E-4</c:v>
                </c:pt>
                <c:pt idx="5">
                  <c:v>4.8567265662943174E-4</c:v>
                </c:pt>
              </c:numCache>
            </c:numRef>
          </c:xVal>
          <c:yVal>
            <c:numRef>
              <c:f>Sheet1!$D$16:$D$21</c:f>
              <c:numCache>
                <c:formatCode>General</c:formatCode>
                <c:ptCount val="6"/>
                <c:pt idx="0">
                  <c:v>-12.038054335798149</c:v>
                </c:pt>
                <c:pt idx="1">
                  <c:v>-11.570915597731306</c:v>
                </c:pt>
                <c:pt idx="2">
                  <c:v>-11.112535107579983</c:v>
                </c:pt>
                <c:pt idx="3">
                  <c:v>-10.690088920790544</c:v>
                </c:pt>
                <c:pt idx="4">
                  <c:v>-10.316821768086621</c:v>
                </c:pt>
                <c:pt idx="5">
                  <c:v>-9.9619389973847259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52384"/>
        <c:axId val="51153536"/>
      </c:scatterChart>
      <c:valAx>
        <c:axId val="5115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153536"/>
        <c:crosses val="autoZero"/>
        <c:crossBetween val="midCat"/>
      </c:valAx>
      <c:valAx>
        <c:axId val="51153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1523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3</xdr:col>
      <xdr:colOff>1085850</xdr:colOff>
      <xdr:row>40</xdr:row>
      <xdr:rowOff>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562070</xdr:colOff>
      <xdr:row>22</xdr:row>
      <xdr:rowOff>15303</xdr:rowOff>
    </xdr:from>
    <xdr:ext cx="599980" cy="436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/>
            <xdr:cNvSpPr txBox="1"/>
          </xdr:nvSpPr>
          <xdr:spPr>
            <a:xfrm>
              <a:off x="7439120" y="4034853"/>
              <a:ext cx="599980" cy="436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>
              <a:off x="7439120" y="4034853"/>
              <a:ext cx="599980" cy="436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zh-CN" sz="1100" i="0">
                  <a:latin typeface="Cambria Math"/>
                </a:rPr>
                <a:t>+𝑏^2</a:t>
              </a:r>
              <a:r>
                <a:rPr lang="zh-CN" altLang="en-US" sz="1100" i="0">
                  <a:latin typeface="Cambria Math"/>
                </a:rPr>
                <a:t> </a:t>
              </a:r>
              <a:r>
                <a:rPr lang="en-US" altLang="zh-CN" sz="1100" i="0">
                  <a:latin typeface="Cambria Math"/>
                  <a:ea typeface="Cambria Math"/>
                </a:rPr>
                <a:t/>
              </a:r>
              <a:r>
                <a:rPr lang="zh-CN" altLang="en-US" sz="1100" i="0">
                  <a:latin typeface="Cambria Math"/>
                  <a:ea typeface="Cambria Math"/>
                </a:rPr>
                <a:t/>
              </a:r>
              <a:r>
                <a:rPr lang="en-US" altLang="zh-CN" sz="1100" i="0">
                  <a:latin typeface="Cambria Math"/>
                  <a:ea typeface="Cambria Math"/>
                </a:rPr>
                <a:t/>
              </a:r>
              <a:r>
                <a:rPr lang="en-US" altLang="zh-CN" sz="1100" i="0">
                  <a:latin typeface="Cambria Math"/>
                </a:rPr>
                <a:t>=𝑐2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topLeftCell="A19" workbookViewId="0">
      <selection activeCell="G46" sqref="G46"/>
    </sheetView>
  </sheetViews>
  <sheetFormatPr defaultRowHeight="13.5" x14ac:dyDescent="0.15"/>
  <cols>
    <col min="1" max="1" width="12.25" customWidth="1"/>
    <col min="2" max="2" width="19.125" customWidth="1"/>
    <col min="3" max="3" width="14.375" customWidth="1"/>
    <col min="4" max="4" width="17.5" customWidth="1"/>
    <col min="7" max="7" width="14.625" customWidth="1"/>
    <col min="8" max="8" width="12.75" bestFit="1" customWidth="1"/>
    <col min="9" max="9" width="11.375" customWidth="1"/>
    <col min="10" max="10" width="17.125" customWidth="1"/>
    <col min="11" max="11" width="12.25" customWidth="1"/>
    <col min="12" max="12" width="16.25" customWidth="1"/>
    <col min="13" max="13" width="15.5" customWidth="1"/>
    <col min="14" max="14" width="12.75" customWidth="1"/>
    <col min="15" max="15" width="20.25" customWidth="1"/>
    <col min="16" max="16" width="11.75" customWidth="1"/>
  </cols>
  <sheetData>
    <row r="1" spans="1:16" x14ac:dyDescent="0.15">
      <c r="B1" s="24" t="s">
        <v>18</v>
      </c>
      <c r="C1" s="25"/>
      <c r="D1" s="25"/>
      <c r="E1" s="25"/>
      <c r="F1" s="25"/>
    </row>
    <row r="2" spans="1:16" x14ac:dyDescent="0.15">
      <c r="B2" s="25"/>
      <c r="C2" s="25"/>
      <c r="D2" s="25"/>
      <c r="E2" s="25"/>
      <c r="F2" s="25"/>
    </row>
    <row r="3" spans="1:16" ht="14.25" thickBot="1" x14ac:dyDescent="0.2">
      <c r="B3" s="25"/>
      <c r="C3" s="25"/>
      <c r="D3" s="25"/>
      <c r="E3" s="25"/>
      <c r="F3" s="25"/>
    </row>
    <row r="4" spans="1:16" ht="14.25" thickBot="1" x14ac:dyDescent="0.2">
      <c r="B4" s="15" t="s">
        <v>0</v>
      </c>
      <c r="C4" s="16" t="s">
        <v>5</v>
      </c>
      <c r="D4" s="16" t="s">
        <v>3</v>
      </c>
      <c r="E4" s="16" t="s">
        <v>2</v>
      </c>
      <c r="F4" s="17" t="s">
        <v>1</v>
      </c>
    </row>
    <row r="5" spans="1:16" x14ac:dyDescent="0.15">
      <c r="B5" s="2">
        <v>8.39</v>
      </c>
      <c r="C5" s="1">
        <f>B5/2700</f>
        <v>3.1074074074074077E-3</v>
      </c>
      <c r="D5" s="1">
        <f>LOG10(C5)</f>
        <v>-2.5076018033302869</v>
      </c>
      <c r="E5" s="5">
        <f>SQRT(F5)</f>
        <v>6</v>
      </c>
      <c r="F5" s="6">
        <v>36</v>
      </c>
    </row>
    <row r="6" spans="1:16" x14ac:dyDescent="0.15">
      <c r="B6" s="2">
        <v>8.58</v>
      </c>
      <c r="C6" s="1">
        <f t="shared" ref="C6:C11" si="0">B6/2700</f>
        <v>3.1777777777777776E-3</v>
      </c>
      <c r="D6" s="1">
        <f t="shared" ref="D6:D11" si="1">LOG10(C6)</f>
        <v>-2.4978764763102821</v>
      </c>
      <c r="E6" s="5">
        <f t="shared" ref="E6:E11" si="2">SQRT(F6)</f>
        <v>7</v>
      </c>
      <c r="F6" s="6">
        <v>49</v>
      </c>
      <c r="J6" t="s">
        <v>21</v>
      </c>
    </row>
    <row r="7" spans="1:16" x14ac:dyDescent="0.15">
      <c r="B7" s="2">
        <v>8.77</v>
      </c>
      <c r="C7" s="1">
        <f t="shared" si="0"/>
        <v>3.248148148148148E-3</v>
      </c>
      <c r="D7" s="1">
        <f t="shared" si="1"/>
        <v>-2.4883641707929467</v>
      </c>
      <c r="E7" s="5">
        <f t="shared" si="2"/>
        <v>8</v>
      </c>
      <c r="F7" s="6">
        <v>64</v>
      </c>
      <c r="H7" t="s">
        <v>22</v>
      </c>
      <c r="I7" t="s">
        <v>20</v>
      </c>
      <c r="J7">
        <v>6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</row>
    <row r="8" spans="1:16" x14ac:dyDescent="0.15">
      <c r="B8" s="2">
        <v>8.93</v>
      </c>
      <c r="C8" s="1">
        <f t="shared" si="0"/>
        <v>3.3074074074074073E-3</v>
      </c>
      <c r="D8" s="1">
        <f t="shared" si="1"/>
        <v>-2.480512305270441</v>
      </c>
      <c r="E8" s="5">
        <f t="shared" si="2"/>
        <v>9</v>
      </c>
      <c r="F8" s="6">
        <v>81</v>
      </c>
      <c r="I8">
        <v>0.5</v>
      </c>
      <c r="J8">
        <v>3.107407E-3</v>
      </c>
      <c r="K8">
        <v>3.177778E-3</v>
      </c>
      <c r="L8">
        <v>3.2481480000000002E-3</v>
      </c>
      <c r="M8">
        <v>3.3074070000000001E-3</v>
      </c>
      <c r="N8">
        <v>3.3925930000000002E-3</v>
      </c>
      <c r="O8">
        <v>3.4555559999999998E-3</v>
      </c>
      <c r="P8">
        <v>3.5444439999999999E-3</v>
      </c>
    </row>
    <row r="9" spans="1:16" x14ac:dyDescent="0.15">
      <c r="B9" s="2">
        <v>9.16</v>
      </c>
      <c r="C9" s="1">
        <f t="shared" si="0"/>
        <v>3.3925925925925924E-3</v>
      </c>
      <c r="D9" s="1">
        <f t="shared" si="1"/>
        <v>-2.4694682904911369</v>
      </c>
      <c r="E9" s="5">
        <f t="shared" si="2"/>
        <v>10</v>
      </c>
      <c r="F9" s="6">
        <v>100</v>
      </c>
      <c r="I9">
        <v>0.54</v>
      </c>
      <c r="J9">
        <v>9.9592589999999998E-3</v>
      </c>
      <c r="K9">
        <v>1.0318519E-2</v>
      </c>
      <c r="L9">
        <v>1.0625926000000001E-2</v>
      </c>
      <c r="M9">
        <v>1.0907406999999999E-2</v>
      </c>
      <c r="N9">
        <v>1.1155556E-2</v>
      </c>
      <c r="O9">
        <v>1.1396296E-2</v>
      </c>
      <c r="P9">
        <v>1.1625926E-2</v>
      </c>
    </row>
    <row r="10" spans="1:16" x14ac:dyDescent="0.15">
      <c r="B10" s="2">
        <v>9.33</v>
      </c>
      <c r="C10" s="1">
        <f t="shared" si="0"/>
        <v>3.4555555555555555E-3</v>
      </c>
      <c r="D10" s="1">
        <f t="shared" si="1"/>
        <v>-2.4614821204124873</v>
      </c>
      <c r="E10" s="5">
        <f t="shared" si="2"/>
        <v>11</v>
      </c>
      <c r="F10" s="6">
        <v>121</v>
      </c>
      <c r="I10">
        <v>0.57999999999999996</v>
      </c>
      <c r="J10">
        <v>3.1322221999999997E-2</v>
      </c>
      <c r="K10">
        <v>3.2492593E-2</v>
      </c>
      <c r="L10">
        <v>3.353333E-2</v>
      </c>
      <c r="M10">
        <v>3.4500000000000003E-2</v>
      </c>
      <c r="N10">
        <v>3.5362962999999997E-2</v>
      </c>
      <c r="O10">
        <v>3.6177769999999998E-2</v>
      </c>
      <c r="P10">
        <v>3.6951852E-2</v>
      </c>
    </row>
    <row r="11" spans="1:16" ht="15.75" customHeight="1" thickBot="1" x14ac:dyDescent="0.2">
      <c r="B11" s="3">
        <v>9.57</v>
      </c>
      <c r="C11" s="1">
        <f t="shared" si="0"/>
        <v>3.5444444444444447E-3</v>
      </c>
      <c r="D11" s="4">
        <f t="shared" si="1"/>
        <v>-2.4504518263821438</v>
      </c>
      <c r="E11" s="7">
        <f t="shared" si="2"/>
        <v>12</v>
      </c>
      <c r="F11" s="8">
        <v>144</v>
      </c>
      <c r="I11">
        <v>0.62</v>
      </c>
      <c r="J11">
        <v>0.09</v>
      </c>
      <c r="K11">
        <v>9.2962962999999996E-2</v>
      </c>
      <c r="L11">
        <v>9.5740000000000006E-2</v>
      </c>
      <c r="M11">
        <v>9.8739999999999994E-2</v>
      </c>
      <c r="N11">
        <v>0.101629</v>
      </c>
      <c r="O11">
        <v>0.104259</v>
      </c>
      <c r="P11">
        <v>0.106740741</v>
      </c>
    </row>
    <row r="12" spans="1:16" ht="27" customHeight="1" x14ac:dyDescent="0.15">
      <c r="B12" s="26" t="s">
        <v>4</v>
      </c>
      <c r="C12" s="26"/>
      <c r="D12" s="26"/>
      <c r="E12" s="26"/>
      <c r="F12" s="26"/>
      <c r="H12" s="1"/>
      <c r="I12">
        <v>0.66</v>
      </c>
      <c r="J12">
        <v>0.23144439999999999</v>
      </c>
      <c r="K12">
        <v>0.24299999999999999</v>
      </c>
      <c r="L12">
        <v>0.25333299999999997</v>
      </c>
      <c r="M12">
        <v>0.26258999999999999</v>
      </c>
      <c r="N12">
        <v>0.27070300000000003</v>
      </c>
      <c r="O12">
        <v>0.2781111</v>
      </c>
      <c r="P12">
        <v>0.28433330000000001</v>
      </c>
    </row>
    <row r="13" spans="1:16" x14ac:dyDescent="0.15">
      <c r="A13" t="s">
        <v>8</v>
      </c>
      <c r="B13" t="s">
        <v>9</v>
      </c>
      <c r="C13" t="s">
        <v>6</v>
      </c>
      <c r="H13" s="1"/>
      <c r="I13">
        <v>0.7</v>
      </c>
      <c r="J13">
        <v>0.55996296300000004</v>
      </c>
      <c r="K13">
        <v>0.59111111000000005</v>
      </c>
      <c r="L13">
        <v>0.616777778</v>
      </c>
      <c r="M13">
        <v>0.63937036999999997</v>
      </c>
      <c r="N13">
        <v>0.65888888899999998</v>
      </c>
      <c r="O13">
        <v>0.67614799999999997</v>
      </c>
      <c r="P13">
        <v>0.69177777799999995</v>
      </c>
    </row>
    <row r="14" spans="1:16" ht="14.25" thickBot="1" x14ac:dyDescent="0.2">
      <c r="A14">
        <f>CORREL(D5:D11,E5:E11)</f>
        <v>0.99936327927508273</v>
      </c>
      <c r="B14">
        <f>INTERCEPT(D5:D11,E5:E11)</f>
        <v>-2.5639728099441195</v>
      </c>
      <c r="C14">
        <f>10^(B14)</f>
        <v>2.7291486424075046E-3</v>
      </c>
      <c r="H14" s="1"/>
    </row>
    <row r="15" spans="1:16" x14ac:dyDescent="0.15">
      <c r="A15" t="s">
        <v>10</v>
      </c>
      <c r="B15" t="s">
        <v>11</v>
      </c>
      <c r="C15" s="9" t="s">
        <v>13</v>
      </c>
      <c r="D15" s="10" t="s">
        <v>14</v>
      </c>
      <c r="E15" s="1" t="s">
        <v>7</v>
      </c>
      <c r="F15" t="s">
        <v>12</v>
      </c>
      <c r="H15" s="1"/>
    </row>
    <row r="16" spans="1:16" x14ac:dyDescent="0.15">
      <c r="A16">
        <v>0.5</v>
      </c>
      <c r="B16">
        <v>1726</v>
      </c>
      <c r="C16" s="11">
        <f t="shared" ref="C16:C21" si="3">1/B16</f>
        <v>5.7937427578215526E-4</v>
      </c>
      <c r="D16" s="12">
        <f t="shared" ref="D16:D21" si="4">LOG10(F16*C16^2)</f>
        <v>-12.038054335798149</v>
      </c>
      <c r="E16" s="1">
        <v>2.7291490000000002E-3</v>
      </c>
      <c r="F16">
        <f t="shared" ref="F16:F21" si="5">E16/1000</f>
        <v>2.7291490000000001E-6</v>
      </c>
      <c r="G16">
        <f>C16^2</f>
        <v>3.3567455143809691E-7</v>
      </c>
      <c r="H16" s="1">
        <f>F16*G16</f>
        <v>9.1610586638273072E-13</v>
      </c>
      <c r="J16">
        <f>1000*J8</f>
        <v>3.1074069999999998</v>
      </c>
      <c r="K16">
        <f t="shared" ref="K16:P16" si="6">1000*K8</f>
        <v>3.177778</v>
      </c>
      <c r="L16">
        <f t="shared" si="6"/>
        <v>3.248148</v>
      </c>
      <c r="M16">
        <f t="shared" si="6"/>
        <v>3.307407</v>
      </c>
      <c r="N16">
        <f t="shared" si="6"/>
        <v>3.3925930000000002</v>
      </c>
      <c r="O16">
        <f t="shared" si="6"/>
        <v>3.4555559999999996</v>
      </c>
      <c r="P16">
        <f t="shared" si="6"/>
        <v>3.5444439999999999</v>
      </c>
    </row>
    <row r="17" spans="1:16" x14ac:dyDescent="0.15">
      <c r="A17">
        <v>0.54</v>
      </c>
      <c r="B17">
        <v>1792</v>
      </c>
      <c r="C17" s="11">
        <f t="shared" si="3"/>
        <v>5.5803571428571425E-4</v>
      </c>
      <c r="D17" s="12">
        <f t="shared" si="4"/>
        <v>-11.570915597731306</v>
      </c>
      <c r="E17" s="1">
        <v>8.6250259999999992E-3</v>
      </c>
      <c r="F17">
        <f t="shared" si="5"/>
        <v>8.625025999999999E-6</v>
      </c>
      <c r="H17" s="1">
        <f>LOG10(H16)</f>
        <v>-12.038054335798149</v>
      </c>
      <c r="J17">
        <f t="shared" ref="J17:P21" si="7">1000*J9</f>
        <v>9.9592589999999994</v>
      </c>
      <c r="K17">
        <f t="shared" si="7"/>
        <v>10.318519</v>
      </c>
      <c r="L17">
        <f t="shared" si="7"/>
        <v>10.625926000000002</v>
      </c>
      <c r="M17">
        <f t="shared" si="7"/>
        <v>10.907406999999999</v>
      </c>
      <c r="N17">
        <f t="shared" si="7"/>
        <v>11.155556000000001</v>
      </c>
      <c r="O17">
        <f t="shared" si="7"/>
        <v>11.396296</v>
      </c>
      <c r="P17">
        <f t="shared" si="7"/>
        <v>11.625926</v>
      </c>
    </row>
    <row r="18" spans="1:16" ht="14.25" thickBot="1" x14ac:dyDescent="0.2">
      <c r="A18">
        <v>0.57999999999999996</v>
      </c>
      <c r="B18">
        <v>1864.2</v>
      </c>
      <c r="C18" s="11">
        <f t="shared" si="3"/>
        <v>5.3642313056538994E-4</v>
      </c>
      <c r="D18" s="12">
        <f t="shared" si="4"/>
        <v>-11.112535107579983</v>
      </c>
      <c r="E18" s="1">
        <v>2.6819452000000001E-2</v>
      </c>
      <c r="F18">
        <f t="shared" si="5"/>
        <v>2.6819452000000002E-5</v>
      </c>
      <c r="H18" s="4"/>
      <c r="J18">
        <f t="shared" si="7"/>
        <v>31.322221999999996</v>
      </c>
      <c r="K18">
        <f t="shared" si="7"/>
        <v>32.492592999999999</v>
      </c>
      <c r="L18">
        <f t="shared" si="7"/>
        <v>33.533329999999999</v>
      </c>
      <c r="M18">
        <f t="shared" si="7"/>
        <v>34.5</v>
      </c>
      <c r="N18">
        <f t="shared" si="7"/>
        <v>35.362963000000001</v>
      </c>
      <c r="O18">
        <f t="shared" si="7"/>
        <v>36.177769999999995</v>
      </c>
      <c r="P18">
        <f t="shared" si="7"/>
        <v>36.951852000000002</v>
      </c>
    </row>
    <row r="19" spans="1:16" x14ac:dyDescent="0.15">
      <c r="A19">
        <v>0.62</v>
      </c>
      <c r="B19">
        <v>1930.6</v>
      </c>
      <c r="C19" s="11">
        <f t="shared" si="3"/>
        <v>5.1797368693670361E-4</v>
      </c>
      <c r="D19" s="12">
        <f t="shared" si="4"/>
        <v>-10.690088920790544</v>
      </c>
      <c r="E19" s="1">
        <v>7.6084411000000005E-2</v>
      </c>
      <c r="F19">
        <f t="shared" si="5"/>
        <v>7.608441100000001E-5</v>
      </c>
      <c r="J19">
        <f t="shared" si="7"/>
        <v>90</v>
      </c>
      <c r="K19">
        <f t="shared" si="7"/>
        <v>92.962963000000002</v>
      </c>
      <c r="L19">
        <f t="shared" si="7"/>
        <v>95.740000000000009</v>
      </c>
      <c r="M19">
        <f t="shared" si="7"/>
        <v>98.74</v>
      </c>
      <c r="N19">
        <f t="shared" si="7"/>
        <v>101.62899999999999</v>
      </c>
      <c r="O19">
        <f t="shared" si="7"/>
        <v>104.259</v>
      </c>
      <c r="P19">
        <f t="shared" si="7"/>
        <v>106.740741</v>
      </c>
    </row>
    <row r="20" spans="1:16" x14ac:dyDescent="0.15">
      <c r="A20">
        <v>0.66</v>
      </c>
      <c r="B20">
        <v>1991.8</v>
      </c>
      <c r="C20" s="11">
        <f t="shared" si="3"/>
        <v>5.0205843960236969E-4</v>
      </c>
      <c r="D20" s="12">
        <f t="shared" si="4"/>
        <v>-10.316821768086621</v>
      </c>
      <c r="E20" s="1">
        <v>0.191280055</v>
      </c>
      <c r="F20">
        <f t="shared" si="5"/>
        <v>1.91280055E-4</v>
      </c>
      <c r="J20">
        <f t="shared" si="7"/>
        <v>231.4444</v>
      </c>
      <c r="K20">
        <f t="shared" si="7"/>
        <v>243</v>
      </c>
      <c r="L20">
        <f t="shared" si="7"/>
        <v>253.33299999999997</v>
      </c>
      <c r="M20">
        <f t="shared" si="7"/>
        <v>262.58999999999997</v>
      </c>
      <c r="N20">
        <f t="shared" si="7"/>
        <v>270.70300000000003</v>
      </c>
      <c r="O20">
        <f t="shared" si="7"/>
        <v>278.11110000000002</v>
      </c>
      <c r="P20">
        <f t="shared" si="7"/>
        <v>284.33330000000001</v>
      </c>
    </row>
    <row r="21" spans="1:16" ht="14.25" thickBot="1" x14ac:dyDescent="0.2">
      <c r="A21">
        <v>0.7</v>
      </c>
      <c r="B21">
        <v>2059</v>
      </c>
      <c r="C21" s="13">
        <f t="shared" si="3"/>
        <v>4.8567265662943174E-4</v>
      </c>
      <c r="D21" s="14">
        <f t="shared" si="4"/>
        <v>-9.9619389973847259</v>
      </c>
      <c r="E21" s="1">
        <v>0.46277905600000002</v>
      </c>
      <c r="F21">
        <f t="shared" si="5"/>
        <v>4.6277905600000002E-4</v>
      </c>
      <c r="J21">
        <f t="shared" si="7"/>
        <v>559.96296300000006</v>
      </c>
      <c r="K21">
        <f t="shared" si="7"/>
        <v>591.11111000000005</v>
      </c>
      <c r="L21">
        <f t="shared" si="7"/>
        <v>616.77777800000001</v>
      </c>
      <c r="M21">
        <f t="shared" si="7"/>
        <v>639.37036999999998</v>
      </c>
      <c r="N21">
        <f t="shared" si="7"/>
        <v>658.88888899999995</v>
      </c>
      <c r="O21">
        <f t="shared" si="7"/>
        <v>676.14800000000002</v>
      </c>
      <c r="P21">
        <f t="shared" si="7"/>
        <v>691.7777779999999</v>
      </c>
    </row>
    <row r="22" spans="1:16" ht="14.25" thickBot="1" x14ac:dyDescent="0.2"/>
    <row r="23" spans="1:16" ht="20.25" x14ac:dyDescent="0.25">
      <c r="B23" s="18" t="s">
        <v>15</v>
      </c>
      <c r="C23" s="19" t="s">
        <v>19</v>
      </c>
      <c r="D23" s="20" t="s">
        <v>17</v>
      </c>
      <c r="G23" t="s">
        <v>23</v>
      </c>
    </row>
    <row r="24" spans="1:16" ht="14.25" thickBot="1" x14ac:dyDescent="0.2">
      <c r="A24" t="s">
        <v>16</v>
      </c>
      <c r="B24" s="21">
        <f>SLOPE(D16:D21,C16:C21)</f>
        <v>-22222.870150538929</v>
      </c>
      <c r="C24" s="22">
        <f>B24/(-5039)</f>
        <v>4.410174667699728</v>
      </c>
      <c r="D24" s="23">
        <f>1.6*10^(-19)*C24</f>
        <v>7.0562794683195658E-19</v>
      </c>
      <c r="G24">
        <f>F16/(B16)^2</f>
        <v>9.1610586638273072E-13</v>
      </c>
    </row>
    <row r="25" spans="1:16" x14ac:dyDescent="0.15">
      <c r="G25">
        <f t="shared" ref="G25:G29" si="8">F17/(B17)^2</f>
        <v>2.6858663753587368E-12</v>
      </c>
    </row>
    <row r="26" spans="1:16" x14ac:dyDescent="0.15">
      <c r="G26">
        <f t="shared" si="8"/>
        <v>7.7172912787727769E-12</v>
      </c>
    </row>
    <row r="27" spans="1:16" x14ac:dyDescent="0.15">
      <c r="G27">
        <f t="shared" si="8"/>
        <v>2.04131994634194E-11</v>
      </c>
    </row>
    <row r="28" spans="1:16" x14ac:dyDescent="0.15">
      <c r="G28">
        <f t="shared" si="8"/>
        <v>4.8214562677154061E-11</v>
      </c>
    </row>
    <row r="29" spans="1:16" x14ac:dyDescent="0.15">
      <c r="G29">
        <f t="shared" si="8"/>
        <v>1.0915936549780504E-10</v>
      </c>
    </row>
  </sheetData>
  <mergeCells count="2">
    <mergeCell ref="B1:F3"/>
    <mergeCell ref="B12:F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2010-03-29T08:30:55Z</dcterms:modified>
</cp:coreProperties>
</file>