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G96" i="1" l="1"/>
  <c r="F96" i="1"/>
  <c r="E96" i="1"/>
  <c r="D96" i="1"/>
  <c r="N95" i="1"/>
  <c r="S95" i="1" s="1"/>
  <c r="L10" i="1" l="1"/>
  <c r="K11" i="1"/>
  <c r="K12" i="1"/>
  <c r="K13" i="1"/>
  <c r="K14" i="1"/>
  <c r="K15" i="1"/>
  <c r="K16" i="1"/>
  <c r="K17" i="1"/>
  <c r="K18" i="1"/>
  <c r="K10" i="1"/>
  <c r="C5" i="1"/>
  <c r="M12" i="1" l="1"/>
  <c r="M16" i="1"/>
  <c r="L11" i="1"/>
  <c r="L12" i="1"/>
  <c r="L13" i="1"/>
  <c r="L14" i="1"/>
  <c r="L15" i="1"/>
  <c r="L16" i="1"/>
  <c r="L17" i="1"/>
  <c r="L18" i="1"/>
  <c r="M10" i="1"/>
  <c r="I12" i="1"/>
  <c r="I13" i="1"/>
  <c r="I16" i="1"/>
  <c r="I17" i="1"/>
  <c r="H9" i="1"/>
  <c r="I9" i="1" s="1"/>
  <c r="H10" i="1"/>
  <c r="I10" i="1" s="1"/>
  <c r="H11" i="1"/>
  <c r="H12" i="1"/>
  <c r="H13" i="1"/>
  <c r="H14" i="1"/>
  <c r="I14" i="1" s="1"/>
  <c r="H15" i="1"/>
  <c r="H16" i="1"/>
  <c r="H17" i="1"/>
  <c r="H18" i="1"/>
  <c r="I18" i="1" s="1"/>
  <c r="H8" i="1"/>
  <c r="G9" i="1"/>
  <c r="G10" i="1"/>
  <c r="G11" i="1"/>
  <c r="I11" i="1" s="1"/>
  <c r="G12" i="1"/>
  <c r="G13" i="1"/>
  <c r="G14" i="1"/>
  <c r="G15" i="1"/>
  <c r="I15" i="1" s="1"/>
  <c r="G16" i="1"/>
  <c r="G17" i="1"/>
  <c r="G18" i="1"/>
  <c r="G8" i="1"/>
  <c r="M15" i="1" l="1"/>
  <c r="M11" i="1"/>
  <c r="M18" i="1"/>
  <c r="M14" i="1"/>
  <c r="M17" i="1"/>
  <c r="M13" i="1"/>
</calcChain>
</file>

<file path=xl/sharedStrings.xml><?xml version="1.0" encoding="utf-8"?>
<sst xmlns="http://schemas.openxmlformats.org/spreadsheetml/2006/main" count="44" uniqueCount="41">
  <si>
    <t>R=</t>
    <phoneticPr fontId="1" type="noConversion"/>
  </si>
  <si>
    <t>x1=</t>
    <phoneticPr fontId="1" type="noConversion"/>
  </si>
  <si>
    <t>m</t>
    <phoneticPr fontId="1" type="noConversion"/>
  </si>
  <si>
    <t>Ω</t>
    <phoneticPr fontId="1" type="noConversion"/>
  </si>
  <si>
    <t>F=</t>
    <phoneticPr fontId="1" type="noConversion"/>
  </si>
  <si>
    <t>m^2</t>
    <phoneticPr fontId="1" type="noConversion"/>
  </si>
  <si>
    <t>U=</t>
    <phoneticPr fontId="1" type="noConversion"/>
  </si>
  <si>
    <t>V</t>
    <phoneticPr fontId="1" type="noConversion"/>
  </si>
  <si>
    <t>τ/s</t>
    <phoneticPr fontId="1" type="noConversion"/>
  </si>
  <si>
    <t>t1/℃</t>
    <phoneticPr fontId="1" type="noConversion"/>
  </si>
  <si>
    <t>t2/℃</t>
    <phoneticPr fontId="1" type="noConversion"/>
  </si>
  <si>
    <t>t3/℃</t>
    <phoneticPr fontId="1" type="noConversion"/>
  </si>
  <si>
    <t>t4/℃</t>
    <phoneticPr fontId="1" type="noConversion"/>
  </si>
  <si>
    <t>θ1/℃</t>
    <phoneticPr fontId="1" type="noConversion"/>
  </si>
  <si>
    <t>θ2/℃</t>
    <phoneticPr fontId="1" type="noConversion"/>
  </si>
  <si>
    <t>A=(θ2/θ1）/sqrt（π)</t>
    <phoneticPr fontId="1" type="noConversion"/>
  </si>
  <si>
    <t>B=(ierfc^-1)(A)</t>
    <phoneticPr fontId="1" type="noConversion"/>
  </si>
  <si>
    <t>Q0=</t>
    <phoneticPr fontId="1" type="noConversion"/>
  </si>
  <si>
    <t>AVEt=(t1+t2)/2</t>
    <phoneticPr fontId="1" type="noConversion"/>
  </si>
  <si>
    <t>inf</t>
    <phoneticPr fontId="1" type="noConversion"/>
  </si>
  <si>
    <t>λ/(W/m*K)</t>
    <phoneticPr fontId="1" type="noConversion"/>
  </si>
  <si>
    <t>a/(m^2/s)</t>
    <phoneticPr fontId="1" type="noConversion"/>
  </si>
  <si>
    <t>W/m^2</t>
    <phoneticPr fontId="1" type="noConversion"/>
  </si>
  <si>
    <t>V1/Mv</t>
    <phoneticPr fontId="1" type="noConversion"/>
  </si>
  <si>
    <t>V2/mV</t>
    <phoneticPr fontId="1" type="noConversion"/>
  </si>
  <si>
    <t>R1</t>
    <phoneticPr fontId="1" type="noConversion"/>
  </si>
  <si>
    <t>d1/mm</t>
    <phoneticPr fontId="1" type="noConversion"/>
  </si>
  <si>
    <t>d2/mm</t>
    <phoneticPr fontId="1" type="noConversion"/>
  </si>
  <si>
    <t>t2/℃</t>
    <phoneticPr fontId="1" type="noConversion"/>
  </si>
  <si>
    <t>t1/℃</t>
    <phoneticPr fontId="1" type="noConversion"/>
  </si>
  <si>
    <t>Q/W</t>
    <phoneticPr fontId="1" type="noConversion"/>
  </si>
  <si>
    <t>λ/(W/m*K)</t>
    <phoneticPr fontId="1" type="noConversion"/>
  </si>
  <si>
    <t>Ut1/mV</t>
    <phoneticPr fontId="1" type="noConversion"/>
  </si>
  <si>
    <t>Ut2/mV</t>
    <phoneticPr fontId="1" type="noConversion"/>
  </si>
  <si>
    <t>V1/mV</t>
    <phoneticPr fontId="1" type="noConversion"/>
  </si>
  <si>
    <t>t1/℃</t>
    <phoneticPr fontId="1" type="noConversion"/>
  </si>
  <si>
    <t>t2/℃</t>
    <phoneticPr fontId="1" type="noConversion"/>
  </si>
  <si>
    <t>均值</t>
    <phoneticPr fontId="1" type="noConversion"/>
  </si>
  <si>
    <t>a/(m^2/s)</t>
    <phoneticPr fontId="1" type="noConversion"/>
  </si>
  <si>
    <t>τ/s</t>
    <phoneticPr fontId="1" type="noConversion"/>
  </si>
  <si>
    <t>曲线编号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</si>
</sst>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"/>
    <numFmt numFmtId="177" formatCode="0.0_ "/>
    <numFmt numFmtId="178" formatCode="0.0000"/>
    <numFmt numFmtId="179" formatCode="0.000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78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79" fontId="0" fillId="0" borderId="6" xfId="0" applyNumberFormat="1" applyBorder="1" applyAlignment="1">
      <alignment horizontal="center"/>
    </xf>
    <xf numFmtId="176" fontId="0" fillId="0" borderId="8" xfId="0" applyNumberForma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79" fontId="0" fillId="0" borderId="9" xfId="0" applyNumberFormat="1" applyBorder="1" applyAlignment="1">
      <alignment horizontal="center"/>
    </xf>
    <xf numFmtId="0" fontId="3" fillId="0" borderId="2" xfId="0" applyFont="1" applyBorder="1"/>
    <xf numFmtId="0" fontId="0" fillId="0" borderId="3" xfId="0" applyBorder="1" applyAlignment="1">
      <alignment horizontal="center" vertical="center"/>
    </xf>
    <xf numFmtId="0" fontId="4" fillId="0" borderId="4" xfId="0" applyFont="1" applyBorder="1"/>
    <xf numFmtId="0" fontId="3" fillId="0" borderId="5" xfId="0" applyFont="1" applyBorder="1"/>
    <xf numFmtId="0" fontId="0" fillId="0" borderId="1" xfId="0" applyBorder="1" applyAlignment="1">
      <alignment horizontal="center"/>
    </xf>
    <xf numFmtId="0" fontId="4" fillId="0" borderId="6" xfId="0" applyFont="1" applyBorder="1"/>
    <xf numFmtId="0" fontId="3" fillId="0" borderId="7" xfId="0" applyFont="1" applyBorder="1"/>
    <xf numFmtId="2" fontId="0" fillId="0" borderId="8" xfId="0" applyNumberFormat="1" applyBorder="1" applyAlignment="1">
      <alignment horizontal="center"/>
    </xf>
    <xf numFmtId="0" fontId="4" fillId="0" borderId="9" xfId="0" applyFont="1" applyBorder="1"/>
    <xf numFmtId="2" fontId="0" fillId="0" borderId="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79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1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solidFill>
                  <a:schemeClr val="tx1"/>
                </a:solidFill>
              </a:rPr>
              <a:t>导温</a:t>
            </a:r>
            <a:r>
              <a:rPr lang="zh-CN" altLang="en-US" baseline="0">
                <a:solidFill>
                  <a:schemeClr val="tx1"/>
                </a:solidFill>
              </a:rPr>
              <a:t>系数</a:t>
            </a:r>
            <a:r>
              <a:rPr lang="en-US" altLang="zh-CN" baseline="0">
                <a:solidFill>
                  <a:schemeClr val="tx1"/>
                </a:solidFill>
              </a:rPr>
              <a:t>—</a:t>
            </a:r>
            <a:r>
              <a:rPr lang="zh-CN" altLang="en-US" baseline="0">
                <a:solidFill>
                  <a:schemeClr val="tx1"/>
                </a:solidFill>
              </a:rPr>
              <a:t>温度   关系曲线</a:t>
            </a:r>
            <a:endParaRPr lang="en-US" altLang="zh-C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7773889374939248"/>
          <c:y val="7.08030629271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1323563921772502E-2"/>
          <c:y val="0.27757465028658529"/>
          <c:w val="0.75139842087640285"/>
          <c:h val="0.61502604986042819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Sheet1!$B$10:$B$18</c:f>
              <c:numCache>
                <c:formatCode>General</c:formatCode>
                <c:ptCount val="9"/>
                <c:pt idx="0">
                  <c:v>240</c:v>
                </c:pt>
                <c:pt idx="1">
                  <c:v>360</c:v>
                </c:pt>
                <c:pt idx="2">
                  <c:v>480</c:v>
                </c:pt>
                <c:pt idx="3">
                  <c:v>600</c:v>
                </c:pt>
                <c:pt idx="4">
                  <c:v>720</c:v>
                </c:pt>
                <c:pt idx="5">
                  <c:v>840</c:v>
                </c:pt>
                <c:pt idx="6">
                  <c:v>960</c:v>
                </c:pt>
                <c:pt idx="7">
                  <c:v>1080</c:v>
                </c:pt>
                <c:pt idx="8">
                  <c:v>1200</c:v>
                </c:pt>
              </c:numCache>
            </c:numRef>
          </c:xVal>
          <c:yVal>
            <c:numRef>
              <c:f>Sheet1!$L$10:$L$18</c:f>
              <c:numCache>
                <c:formatCode>0.00E+00</c:formatCode>
                <c:ptCount val="9"/>
                <c:pt idx="0">
                  <c:v>3.1742924204446209E-7</c:v>
                </c:pt>
                <c:pt idx="1">
                  <c:v>3.3069875555743392E-7</c:v>
                </c:pt>
                <c:pt idx="2">
                  <c:v>3.5757589790154269E-7</c:v>
                </c:pt>
                <c:pt idx="3">
                  <c:v>4.0932781798482138E-7</c:v>
                </c:pt>
                <c:pt idx="4">
                  <c:v>4.4992800863907856E-7</c:v>
                </c:pt>
                <c:pt idx="5">
                  <c:v>4.982626339314016E-7</c:v>
                </c:pt>
                <c:pt idx="6">
                  <c:v>5.4721543777226261E-7</c:v>
                </c:pt>
                <c:pt idx="7">
                  <c:v>5.5869404168246845E-7</c:v>
                </c:pt>
                <c:pt idx="8">
                  <c:v>6.0576626973710694E-7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264888"/>
        <c:axId val="224270776"/>
      </c:scatterChart>
      <c:valAx>
        <c:axId val="224264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25000"/>
                  <a:lumOff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headEnd type="none"/>
            <a:tailEnd type="stealth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270776"/>
        <c:crosses val="autoZero"/>
        <c:crossBetween val="midCat"/>
      </c:valAx>
      <c:valAx>
        <c:axId val="2242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stealth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264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>
                <a:solidFill>
                  <a:schemeClr val="tx1"/>
                </a:solidFill>
              </a:rPr>
              <a:t>传热系数</a:t>
            </a:r>
            <a:r>
              <a:rPr lang="en-US">
                <a:solidFill>
                  <a:schemeClr val="tx1"/>
                </a:solidFill>
              </a:rPr>
              <a:t>—</a:t>
            </a:r>
            <a:r>
              <a:rPr lang="zh-CN">
                <a:solidFill>
                  <a:schemeClr val="tx1"/>
                </a:solidFill>
              </a:rPr>
              <a:t>温度  关系曲线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2302719466955981"/>
          <c:y val="5.26849205609683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4330927384076992E-2"/>
          <c:y val="0.22777777777777777"/>
          <c:w val="0.77366907261592288"/>
          <c:h val="0.68797098279381741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Sheet1!$B$10:$B$18</c:f>
              <c:numCache>
                <c:formatCode>General</c:formatCode>
                <c:ptCount val="9"/>
                <c:pt idx="0">
                  <c:v>240</c:v>
                </c:pt>
                <c:pt idx="1">
                  <c:v>360</c:v>
                </c:pt>
                <c:pt idx="2">
                  <c:v>480</c:v>
                </c:pt>
                <c:pt idx="3">
                  <c:v>600</c:v>
                </c:pt>
                <c:pt idx="4">
                  <c:v>720</c:v>
                </c:pt>
                <c:pt idx="5">
                  <c:v>840</c:v>
                </c:pt>
                <c:pt idx="6">
                  <c:v>960</c:v>
                </c:pt>
                <c:pt idx="7">
                  <c:v>1080</c:v>
                </c:pt>
                <c:pt idx="8">
                  <c:v>1200</c:v>
                </c:pt>
              </c:numCache>
            </c:numRef>
          </c:xVal>
          <c:yVal>
            <c:numRef>
              <c:f>Sheet1!$M$10:$M$18</c:f>
              <c:numCache>
                <c:formatCode>0.000</c:formatCode>
                <c:ptCount val="9"/>
                <c:pt idx="0">
                  <c:v>0.18871373340426706</c:v>
                </c:pt>
                <c:pt idx="1">
                  <c:v>0.19301531709085146</c:v>
                </c:pt>
                <c:pt idx="2">
                  <c:v>0.2005070743204026</c:v>
                </c:pt>
                <c:pt idx="3">
                  <c:v>0.21562098709647695</c:v>
                </c:pt>
                <c:pt idx="4">
                  <c:v>0.22491904668331014</c:v>
                </c:pt>
                <c:pt idx="5">
                  <c:v>0.23817595217941609</c:v>
                </c:pt>
                <c:pt idx="6">
                  <c:v>0.24975819270703514</c:v>
                </c:pt>
                <c:pt idx="7">
                  <c:v>0.25157195558461243</c:v>
                </c:pt>
                <c:pt idx="8">
                  <c:v>0.26231921262488794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634192"/>
        <c:axId val="224665344"/>
      </c:scatterChart>
      <c:valAx>
        <c:axId val="22463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stealth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665344"/>
        <c:crosses val="autoZero"/>
        <c:crossBetween val="midCat"/>
      </c:valAx>
      <c:valAx>
        <c:axId val="224665344"/>
        <c:scaling>
          <c:orientation val="minMax"/>
          <c:min val="0.12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headEnd w="sm" len="sm"/>
            <a:tailEnd type="stealth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63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solidFill>
                  <a:schemeClr val="tx1"/>
                </a:solidFill>
              </a:rPr>
              <a:t>t1—</a:t>
            </a:r>
            <a:r>
              <a:rPr lang="el-GR" altLang="zh-CN">
                <a:solidFill>
                  <a:schemeClr val="tx1"/>
                </a:solidFill>
              </a:rPr>
              <a:t>τ</a:t>
            </a:r>
            <a:r>
              <a:rPr lang="en-US" altLang="zh-CN">
                <a:solidFill>
                  <a:schemeClr val="tx1"/>
                </a:solidFill>
              </a:rPr>
              <a:t>   </a:t>
            </a:r>
            <a:r>
              <a:rPr lang="zh-CN" altLang="en-US">
                <a:solidFill>
                  <a:schemeClr val="tx1"/>
                </a:solidFill>
              </a:rPr>
              <a:t>关系曲线</a:t>
            </a:r>
            <a:endParaRPr lang="en-US" altLang="zh-C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586789151356088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2416666666666667"/>
          <c:w val="0.78864129483814527"/>
          <c:h val="0.6509339457567804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Sheet1!$B$8:$B$18</c:f>
              <c:strCache>
                <c:ptCount val="11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Sheet1!$B$8:$B$18</c:f>
              <c:numCache>
                <c:formatCode>General</c:formatCode>
                <c:ptCount val="11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</c:numCache>
            </c:numRef>
          </c:xVal>
          <c:yVal>
            <c:numRef>
              <c:f>Sheet1!$C$8:$C$18</c:f>
              <c:numCache>
                <c:formatCode>General</c:formatCode>
                <c:ptCount val="11"/>
                <c:pt idx="0">
                  <c:v>16.8</c:v>
                </c:pt>
                <c:pt idx="1">
                  <c:v>21.3</c:v>
                </c:pt>
                <c:pt idx="2">
                  <c:v>23.1</c:v>
                </c:pt>
                <c:pt idx="3">
                  <c:v>24.5</c:v>
                </c:pt>
                <c:pt idx="4">
                  <c:v>25.7</c:v>
                </c:pt>
                <c:pt idx="5">
                  <c:v>26.7</c:v>
                </c:pt>
                <c:pt idx="6">
                  <c:v>27.7</c:v>
                </c:pt>
                <c:pt idx="7">
                  <c:v>28.5</c:v>
                </c:pt>
                <c:pt idx="8">
                  <c:v>29.3</c:v>
                </c:pt>
                <c:pt idx="9">
                  <c:v>30.1</c:v>
                </c:pt>
                <c:pt idx="10">
                  <c:v>30.8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683616"/>
        <c:axId val="224684000"/>
      </c:scatterChart>
      <c:valAx>
        <c:axId val="22468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stealth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684000"/>
        <c:crosses val="autoZero"/>
        <c:crossBetween val="midCat"/>
      </c:valAx>
      <c:valAx>
        <c:axId val="224684000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stealth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68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solidFill>
                  <a:schemeClr val="tx1"/>
                </a:solidFill>
              </a:rPr>
              <a:t>t2—</a:t>
            </a:r>
            <a:r>
              <a:rPr lang="el-GR" altLang="zh-CN">
                <a:solidFill>
                  <a:schemeClr val="tx1"/>
                </a:solidFill>
              </a:rPr>
              <a:t>τ</a:t>
            </a:r>
            <a:r>
              <a:rPr lang="en-US" altLang="zh-CN">
                <a:solidFill>
                  <a:schemeClr val="tx1"/>
                </a:solidFill>
              </a:rPr>
              <a:t>  </a:t>
            </a:r>
            <a:r>
              <a:rPr lang="zh-CN" altLang="en-US">
                <a:solidFill>
                  <a:schemeClr val="tx1"/>
                </a:solidFill>
              </a:rPr>
              <a:t>关系曲线</a:t>
            </a:r>
            <a:endParaRPr lang="en-US" altLang="zh-C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5016666666666674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5553149606299214E-2"/>
          <c:y val="0.21800925925925929"/>
          <c:w val="0.77244685039370076"/>
          <c:h val="0.67459135316418772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Sheet1!$B$8:$B$18</c:f>
              <c:numCache>
                <c:formatCode>General</c:formatCode>
                <c:ptCount val="11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</c:numCache>
            </c:numRef>
          </c:xVal>
          <c:yVal>
            <c:numRef>
              <c:f>Sheet1!$D$8:$D$18</c:f>
              <c:numCache>
                <c:formatCode>0.0</c:formatCode>
                <c:ptCount val="11"/>
                <c:pt idx="0">
                  <c:v>17</c:v>
                </c:pt>
                <c:pt idx="1">
                  <c:v>17</c:v>
                </c:pt>
                <c:pt idx="2">
                  <c:v>17.2</c:v>
                </c:pt>
                <c:pt idx="3">
                  <c:v>17.5</c:v>
                </c:pt>
                <c:pt idx="4">
                  <c:v>17.899999999999999</c:v>
                </c:pt>
                <c:pt idx="5">
                  <c:v>18.399999999999999</c:v>
                </c:pt>
                <c:pt idx="6">
                  <c:v>18.899999999999999</c:v>
                </c:pt>
                <c:pt idx="7">
                  <c:v>19.399999999999999</c:v>
                </c:pt>
                <c:pt idx="8">
                  <c:v>19.899999999999999</c:v>
                </c:pt>
                <c:pt idx="9">
                  <c:v>20.3</c:v>
                </c:pt>
                <c:pt idx="10">
                  <c:v>20.8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726952"/>
        <c:axId val="224751736"/>
      </c:scatterChart>
      <c:valAx>
        <c:axId val="22472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15875" cap="flat" cmpd="sng" algn="ctr">
            <a:solidFill>
              <a:schemeClr val="tx1"/>
            </a:solidFill>
            <a:round/>
            <a:headEnd type="none"/>
            <a:tailEnd type="stealth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751736"/>
        <c:crosses val="autoZero"/>
        <c:crossBetween val="midCat"/>
      </c:valAx>
      <c:valAx>
        <c:axId val="224751736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stealth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72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solidFill>
                  <a:schemeClr val="tx1"/>
                </a:solidFill>
              </a:rPr>
              <a:t>导热系数</a:t>
            </a:r>
            <a:r>
              <a:rPr lang="en-US" altLang="zh-CN">
                <a:solidFill>
                  <a:schemeClr val="tx1"/>
                </a:solidFill>
              </a:rPr>
              <a:t>a</a:t>
            </a:r>
            <a:r>
              <a:rPr lang="zh-CN" altLang="en-US">
                <a:solidFill>
                  <a:schemeClr val="tx1"/>
                </a:solidFill>
              </a:rPr>
              <a:t>对</a:t>
            </a:r>
            <a:r>
              <a:rPr lang="en-US" altLang="zh-CN">
                <a:solidFill>
                  <a:schemeClr val="tx1"/>
                </a:solidFill>
              </a:rPr>
              <a:t>t2</a:t>
            </a:r>
            <a:r>
              <a:rPr lang="zh-CN" altLang="en-US">
                <a:solidFill>
                  <a:schemeClr val="tx1"/>
                </a:solidFill>
              </a:rPr>
              <a:t>的影响曲线</a:t>
            </a:r>
          </a:p>
        </c:rich>
      </c:tx>
      <c:layout>
        <c:manualLayout>
          <c:xMode val="edge"/>
          <c:yMode val="edge"/>
          <c:x val="0.29594964386220218"/>
          <c:y val="5.1546377804914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6446827587683928E-2"/>
          <c:y val="0.19300181481131726"/>
          <c:w val="0.70198185687981629"/>
          <c:h val="0.55811739099023427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Sheet1!$F$56:$P$56</c:f>
              <c:numCache>
                <c:formatCode>General</c:formatCode>
                <c:ptCount val="11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</c:numCache>
            </c:numRef>
          </c:xVal>
          <c:yVal>
            <c:numRef>
              <c:f>Sheet1!$F$57:$P$57</c:f>
              <c:numCache>
                <c:formatCode>0.00</c:formatCode>
                <c:ptCount val="11"/>
                <c:pt idx="0">
                  <c:v>17</c:v>
                </c:pt>
                <c:pt idx="1">
                  <c:v>17.031700000000001</c:v>
                </c:pt>
                <c:pt idx="2">
                  <c:v>17.287199999999999</c:v>
                </c:pt>
                <c:pt idx="3">
                  <c:v>17.7087</c:v>
                </c:pt>
                <c:pt idx="4">
                  <c:v>18.200900000000001</c:v>
                </c:pt>
                <c:pt idx="5">
                  <c:v>18.7197</c:v>
                </c:pt>
                <c:pt idx="6">
                  <c:v>19.245000000000001</c:v>
                </c:pt>
                <c:pt idx="7">
                  <c:v>19.767600000000002</c:v>
                </c:pt>
                <c:pt idx="8">
                  <c:v>20.282599999999999</c:v>
                </c:pt>
                <c:pt idx="9">
                  <c:v>20.788</c:v>
                </c:pt>
                <c:pt idx="10">
                  <c:v>21.282800000000002</c:v>
                </c:pt>
              </c:numCache>
            </c:numRef>
          </c:yVal>
          <c:smooth val="1"/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Sheet1!$F$56:$P$56</c:f>
              <c:numCache>
                <c:formatCode>General</c:formatCode>
                <c:ptCount val="11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</c:numCache>
            </c:numRef>
          </c:xVal>
          <c:yVal>
            <c:numRef>
              <c:f>Sheet1!$F$58:$P$58</c:f>
              <c:numCache>
                <c:formatCode>0.00</c:formatCode>
                <c:ptCount val="11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17.0002</c:v>
                </c:pt>
                <c:pt idx="5">
                  <c:v>17.000800000000002</c:v>
                </c:pt>
                <c:pt idx="6">
                  <c:v>17.002600000000001</c:v>
                </c:pt>
                <c:pt idx="7">
                  <c:v>17.0062</c:v>
                </c:pt>
                <c:pt idx="8">
                  <c:v>17.012</c:v>
                </c:pt>
                <c:pt idx="9">
                  <c:v>17.020399999999999</c:v>
                </c:pt>
                <c:pt idx="10">
                  <c:v>17.031700000000001</c:v>
                </c:pt>
              </c:numCache>
            </c:numRef>
          </c:yVal>
          <c:smooth val="1"/>
        </c:ser>
        <c:ser>
          <c:idx val="2"/>
          <c:order val="2"/>
          <c:tx>
            <c:v>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Sheet1!$F$56:$P$56</c:f>
              <c:numCache>
                <c:formatCode>General</c:formatCode>
                <c:ptCount val="11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</c:numCache>
            </c:numRef>
          </c:xVal>
          <c:yVal>
            <c:numRef>
              <c:f>Sheet1!$F$59:$P$59</c:f>
              <c:numCache>
                <c:formatCode>0.00</c:formatCode>
                <c:ptCount val="11"/>
                <c:pt idx="0">
                  <c:v>17</c:v>
                </c:pt>
                <c:pt idx="1">
                  <c:v>21.282800000000002</c:v>
                </c:pt>
                <c:pt idx="2">
                  <c:v>25.6843</c:v>
                </c:pt>
                <c:pt idx="3">
                  <c:v>29.351400000000002</c:v>
                </c:pt>
                <c:pt idx="4">
                  <c:v>32.547199999999997</c:v>
                </c:pt>
                <c:pt idx="5">
                  <c:v>35.414000000000001</c:v>
                </c:pt>
                <c:pt idx="6">
                  <c:v>38.035499999999999</c:v>
                </c:pt>
                <c:pt idx="7">
                  <c:v>40.465200000000003</c:v>
                </c:pt>
                <c:pt idx="8">
                  <c:v>42.739800000000002</c:v>
                </c:pt>
                <c:pt idx="9">
                  <c:v>44.8855</c:v>
                </c:pt>
                <c:pt idx="10">
                  <c:v>46.921999999999997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804072"/>
        <c:axId val="224806504"/>
      </c:scatterChart>
      <c:valAx>
        <c:axId val="224804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stealth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806504"/>
        <c:crosses val="autoZero"/>
        <c:crossBetween val="midCat"/>
      </c:valAx>
      <c:valAx>
        <c:axId val="22480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stealth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4804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805422792468386"/>
          <c:y val="0.1676539849949982"/>
          <c:w val="0.11953305765317462"/>
          <c:h val="0.429939314910476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solidFill>
                  <a:schemeClr val="tx1"/>
                </a:solidFill>
              </a:rPr>
              <a:t>传热系数</a:t>
            </a:r>
            <a:r>
              <a:rPr lang="el-GR" altLang="zh-CN">
                <a:solidFill>
                  <a:schemeClr val="tx1"/>
                </a:solidFill>
              </a:rPr>
              <a:t>λ</a:t>
            </a:r>
            <a:r>
              <a:rPr lang="zh-CN" altLang="en-US">
                <a:solidFill>
                  <a:schemeClr val="tx1"/>
                </a:solidFill>
              </a:rPr>
              <a:t>对</a:t>
            </a:r>
            <a:r>
              <a:rPr lang="en-US" altLang="zh-CN">
                <a:solidFill>
                  <a:schemeClr val="tx1"/>
                </a:solidFill>
              </a:rPr>
              <a:t>t2</a:t>
            </a:r>
            <a:r>
              <a:rPr lang="zh-CN" altLang="en-US">
                <a:solidFill>
                  <a:schemeClr val="tx1"/>
                </a:solidFill>
              </a:rPr>
              <a:t>的影响曲线</a:t>
            </a:r>
          </a:p>
        </c:rich>
      </c:tx>
      <c:layout>
        <c:manualLayout>
          <c:xMode val="edge"/>
          <c:yMode val="edge"/>
          <c:x val="0.34310917506611277"/>
          <c:y val="7.4280408542246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731649923069963"/>
          <c:y val="0.21236231787586782"/>
          <c:w val="0.72240791021811923"/>
          <c:h val="0.66781728069728918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Sheet1!$F$56:$P$56</c:f>
              <c:numCache>
                <c:formatCode>General</c:formatCode>
                <c:ptCount val="11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</c:numCache>
            </c:numRef>
          </c:xVal>
          <c:yVal>
            <c:numRef>
              <c:f>Sheet1!$F$57:$P$57</c:f>
              <c:numCache>
                <c:formatCode>0.00</c:formatCode>
                <c:ptCount val="11"/>
                <c:pt idx="0">
                  <c:v>17</c:v>
                </c:pt>
                <c:pt idx="1">
                  <c:v>17.031700000000001</c:v>
                </c:pt>
                <c:pt idx="2">
                  <c:v>17.287199999999999</c:v>
                </c:pt>
                <c:pt idx="3">
                  <c:v>17.7087</c:v>
                </c:pt>
                <c:pt idx="4">
                  <c:v>18.200900000000001</c:v>
                </c:pt>
                <c:pt idx="5">
                  <c:v>18.7197</c:v>
                </c:pt>
                <c:pt idx="6">
                  <c:v>19.245000000000001</c:v>
                </c:pt>
                <c:pt idx="7">
                  <c:v>19.767600000000002</c:v>
                </c:pt>
                <c:pt idx="8">
                  <c:v>20.282599999999999</c:v>
                </c:pt>
                <c:pt idx="9">
                  <c:v>20.788</c:v>
                </c:pt>
                <c:pt idx="10">
                  <c:v>21.282800000000002</c:v>
                </c:pt>
              </c:numCache>
            </c:numRef>
          </c:yVal>
          <c:smooth val="1"/>
        </c:ser>
        <c:ser>
          <c:idx val="1"/>
          <c:order val="1"/>
          <c:tx>
            <c:v>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Sheet1!$F$56:$P$56</c:f>
              <c:numCache>
                <c:formatCode>General</c:formatCode>
                <c:ptCount val="11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</c:numCache>
            </c:numRef>
          </c:xVal>
          <c:yVal>
            <c:numRef>
              <c:f>Sheet1!$F$60:$P$60</c:f>
              <c:numCache>
                <c:formatCode>0.00</c:formatCode>
                <c:ptCount val="11"/>
                <c:pt idx="0">
                  <c:v>17</c:v>
                </c:pt>
                <c:pt idx="1">
                  <c:v>17.0032</c:v>
                </c:pt>
                <c:pt idx="2">
                  <c:v>17.028700000000001</c:v>
                </c:pt>
                <c:pt idx="3">
                  <c:v>17.070900000000002</c:v>
                </c:pt>
                <c:pt idx="4">
                  <c:v>17.120100000000001</c:v>
                </c:pt>
                <c:pt idx="5">
                  <c:v>17.172000000000001</c:v>
                </c:pt>
                <c:pt idx="6">
                  <c:v>17.224499999999999</c:v>
                </c:pt>
                <c:pt idx="7">
                  <c:v>17.276800000000001</c:v>
                </c:pt>
                <c:pt idx="8">
                  <c:v>17.328299999999999</c:v>
                </c:pt>
                <c:pt idx="9">
                  <c:v>17.378799999999998</c:v>
                </c:pt>
                <c:pt idx="10">
                  <c:v>17.4283</c:v>
                </c:pt>
              </c:numCache>
            </c:numRef>
          </c:yVal>
          <c:smooth val="1"/>
        </c:ser>
        <c:ser>
          <c:idx val="2"/>
          <c:order val="2"/>
          <c:tx>
            <c:v>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Sheet1!$F$56:$P$56</c:f>
              <c:numCache>
                <c:formatCode>General</c:formatCode>
                <c:ptCount val="11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</c:numCache>
            </c:numRef>
          </c:xVal>
          <c:yVal>
            <c:numRef>
              <c:f>Sheet1!$F$61:$P$61</c:f>
              <c:numCache>
                <c:formatCode>0.00</c:formatCode>
                <c:ptCount val="11"/>
                <c:pt idx="0">
                  <c:v>17</c:v>
                </c:pt>
                <c:pt idx="1">
                  <c:v>17.3169</c:v>
                </c:pt>
                <c:pt idx="2">
                  <c:v>19.872</c:v>
                </c:pt>
                <c:pt idx="3">
                  <c:v>24.087399999999999</c:v>
                </c:pt>
                <c:pt idx="4">
                  <c:v>29.008900000000001</c:v>
                </c:pt>
                <c:pt idx="5">
                  <c:v>34.196599999999997</c:v>
                </c:pt>
                <c:pt idx="6">
                  <c:v>39.450400000000002</c:v>
                </c:pt>
                <c:pt idx="7">
                  <c:v>44.675600000000003</c:v>
                </c:pt>
                <c:pt idx="8">
                  <c:v>49.826099999999997</c:v>
                </c:pt>
                <c:pt idx="9">
                  <c:v>54.880200000000002</c:v>
                </c:pt>
                <c:pt idx="10">
                  <c:v>59.828400000000002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550384"/>
        <c:axId val="223550776"/>
      </c:scatterChart>
      <c:valAx>
        <c:axId val="22355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stealth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3550776"/>
        <c:crosses val="autoZero"/>
        <c:crossBetween val="midCat"/>
      </c:valAx>
      <c:valAx>
        <c:axId val="22355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stealth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355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249822124132093"/>
          <c:y val="0.25222760803924577"/>
          <c:w val="9.8461538461538475E-2"/>
          <c:h val="0.438314756110031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35</xdr:row>
      <xdr:rowOff>152399</xdr:rowOff>
    </xdr:from>
    <xdr:to>
      <xdr:col>9</xdr:col>
      <xdr:colOff>19050</xdr:colOff>
      <xdr:row>54</xdr:row>
      <xdr:rowOff>19050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152399</xdr:colOff>
      <xdr:row>36</xdr:row>
      <xdr:rowOff>28576</xdr:rowOff>
    </xdr:from>
    <xdr:to>
      <xdr:col>16</xdr:col>
      <xdr:colOff>485775</xdr:colOff>
      <xdr:row>54</xdr:row>
      <xdr:rowOff>76200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</xdr:row>
      <xdr:rowOff>95250</xdr:rowOff>
    </xdr:from>
    <xdr:to>
      <xdr:col>6</xdr:col>
      <xdr:colOff>571500</xdr:colOff>
      <xdr:row>34</xdr:row>
      <xdr:rowOff>95250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328612</xdr:colOff>
      <xdr:row>18</xdr:row>
      <xdr:rowOff>66675</xdr:rowOff>
    </xdr:from>
    <xdr:to>
      <xdr:col>12</xdr:col>
      <xdr:colOff>80962</xdr:colOff>
      <xdr:row>34</xdr:row>
      <xdr:rowOff>66675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28575</xdr:colOff>
      <xdr:row>61</xdr:row>
      <xdr:rowOff>123825</xdr:rowOff>
    </xdr:from>
    <xdr:to>
      <xdr:col>9</xdr:col>
      <xdr:colOff>247650</xdr:colOff>
      <xdr:row>78</xdr:row>
      <xdr:rowOff>95250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314326</xdr:colOff>
      <xdr:row>63</xdr:row>
      <xdr:rowOff>57151</xdr:rowOff>
    </xdr:from>
    <xdr:to>
      <xdr:col>13</xdr:col>
      <xdr:colOff>76200</xdr:colOff>
      <xdr:row>82</xdr:row>
      <xdr:rowOff>1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0.88066</cdr:x>
      <cdr:y>0.85764</cdr:y>
    </cdr:from>
    <cdr:to>
      <cdr:x>0.98309</cdr:x>
      <cdr:y>0.95139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4076700" y="2679436"/>
          <a:ext cx="474154" cy="2928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altLang="zh-CN" sz="1100"/>
            <a:t>τ</a:t>
          </a:r>
          <a:r>
            <a:rPr lang="en-US" altLang="zh-CN" sz="1100"/>
            <a:t>/s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0.06052</cdr:x>
      <cdr:y>0.17014</cdr:y>
    </cdr:from>
    <cdr:to>
      <cdr:x>0.25309</cdr:x>
      <cdr:y>0.25305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280169" y="531548"/>
          <a:ext cx="891406" cy="2590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a/(m^2/s)</a:t>
          </a:r>
          <a:endParaRPr lang="zh-CN" alt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0.87083</cdr:x>
      <cdr:y>0.84722</cdr:y>
    </cdr:from>
    <cdr:to>
      <cdr:x>0.97708</cdr:x>
      <cdr:y>0.97569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3981450" y="2324100"/>
          <a:ext cx="485775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altLang="zh-CN" sz="1100"/>
            <a:t>τ</a:t>
          </a:r>
          <a:r>
            <a:rPr lang="en-US" altLang="zh-CN" sz="1100">
              <a:solidFill>
                <a:schemeClr val="tx1"/>
              </a:solidFill>
            </a:rPr>
            <a:t>/s</a:t>
          </a:r>
          <a:endParaRPr lang="zh-CN" altLang="en-US" sz="110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0.00417</cdr:x>
      <cdr:y>0.12153</cdr:y>
    </cdr:from>
    <cdr:to>
      <cdr:x>0.22917</cdr:x>
      <cdr:y>0.20486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9050" y="333375"/>
          <a:ext cx="1028700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altLang="zh-CN" sz="1100"/>
            <a:t>λ</a:t>
          </a:r>
          <a:r>
            <a:rPr lang="en-US" altLang="zh-CN" sz="1100"/>
            <a:t>/(W/m*K)</a:t>
          </a:r>
          <a:endParaRPr lang="zh-CN" alt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0.87604</cdr:x>
      <cdr:y>0.82292</cdr:y>
    </cdr:from>
    <cdr:to>
      <cdr:x>1</cdr:x>
      <cdr:y>0.91319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2653481" y="2257434"/>
          <a:ext cx="375469" cy="2476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altLang="zh-CN" sz="1100"/>
            <a:t>τ</a:t>
          </a:r>
          <a:r>
            <a:rPr lang="en-US" altLang="zh-CN" sz="1100"/>
            <a:t>/s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0.03021</cdr:x>
      <cdr:y>0.125</cdr:y>
    </cdr:from>
    <cdr:to>
      <cdr:x>0.25472</cdr:x>
      <cdr:y>0.24653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91505" y="342900"/>
          <a:ext cx="680020" cy="3333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t1/</a:t>
          </a:r>
          <a:r>
            <a:rPr lang="zh-CN" altLang="en-US" sz="1100"/>
            <a:t>℃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0.87813</cdr:x>
      <cdr:y>0.84722</cdr:y>
    </cdr:from>
    <cdr:to>
      <cdr:x>1</cdr:x>
      <cdr:y>0.97222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2785274" y="2324094"/>
          <a:ext cx="386551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altLang="zh-CN" sz="1100"/>
            <a:t>τ</a:t>
          </a:r>
          <a:r>
            <a:rPr lang="en-US" altLang="zh-CN" sz="1100"/>
            <a:t>/s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0.04063</cdr:x>
      <cdr:y>0.09722</cdr:y>
    </cdr:from>
    <cdr:to>
      <cdr:x>0.22188</cdr:x>
      <cdr:y>0.22569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85738" y="266700"/>
          <a:ext cx="828675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t2/</a:t>
          </a:r>
          <a:r>
            <a:rPr lang="zh-CN" altLang="en-US" sz="1100"/>
            <a:t>℃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0.81804</cdr:x>
      <cdr:y>0.71649</cdr:y>
    </cdr:from>
    <cdr:to>
      <cdr:x>0.90902</cdr:x>
      <cdr:y>0.79381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5053013" y="2647951"/>
          <a:ext cx="56197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altLang="zh-CN" sz="1100"/>
            <a:t>τ</a:t>
          </a:r>
          <a:r>
            <a:rPr lang="en-US" altLang="zh-CN" sz="1100"/>
            <a:t>/s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0.06245</cdr:x>
      <cdr:y>0.08505</cdr:y>
    </cdr:from>
    <cdr:to>
      <cdr:x>0.16423</cdr:x>
      <cdr:y>0.16237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385764" y="314326"/>
          <a:ext cx="6286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t1/</a:t>
          </a:r>
          <a:r>
            <a:rPr lang="zh-CN" altLang="en-US" sz="1100"/>
            <a:t>℃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0.87473</cdr:x>
      <cdr:y>0.87187</cdr:y>
    </cdr:from>
    <cdr:to>
      <cdr:x>0.96249</cdr:x>
      <cdr:y>0.98886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5886450" y="2981325"/>
          <a:ext cx="590550" cy="400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altLang="zh-CN" sz="1100"/>
            <a:t>τ</a:t>
          </a:r>
          <a:r>
            <a:rPr lang="en-US" altLang="zh-CN" sz="1100"/>
            <a:t>/s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0.05379</cdr:x>
      <cdr:y>0.11421</cdr:y>
    </cdr:from>
    <cdr:to>
      <cdr:x>0.18542</cdr:x>
      <cdr:y>0.22284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361950" y="390525"/>
          <a:ext cx="885825" cy="3714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t1/</a:t>
          </a:r>
          <a:r>
            <a:rPr lang="zh-CN" altLang="en-US" sz="1100"/>
            <a:t>℃</a:t>
          </a:r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96"/>
  <sheetViews>
    <sheetView tabSelected="1" topLeftCell="A40" workbookViewId="0">
      <selection activeCell="P64" sqref="P64"/>
    </sheetView>
  </sheetViews>
  <sheetFormatPr defaultRowHeight="13.5" x14ac:dyDescent="0.15"/>
  <cols>
    <col min="1" max="1" width="4.125" customWidth="1"/>
    <col min="2" max="2" width="6.625" customWidth="1"/>
    <col min="3" max="3" width="11.625" customWidth="1"/>
    <col min="4" max="16" width="6.625" customWidth="1"/>
  </cols>
  <sheetData>
    <row r="1" spans="2:13" x14ac:dyDescent="0.15">
      <c r="B1" s="29" t="s">
        <v>0</v>
      </c>
      <c r="C1" s="30">
        <v>43.6</v>
      </c>
      <c r="D1" s="31" t="s">
        <v>3</v>
      </c>
    </row>
    <row r="2" spans="2:13" x14ac:dyDescent="0.15">
      <c r="B2" s="32" t="s">
        <v>1</v>
      </c>
      <c r="C2" s="33">
        <v>0.02</v>
      </c>
      <c r="D2" s="34" t="s">
        <v>2</v>
      </c>
    </row>
    <row r="3" spans="2:13" x14ac:dyDescent="0.15">
      <c r="B3" s="32" t="s">
        <v>4</v>
      </c>
      <c r="C3" s="33">
        <v>3.7999999999999999E-2</v>
      </c>
      <c r="D3" s="34" t="s">
        <v>5</v>
      </c>
    </row>
    <row r="4" spans="2:13" x14ac:dyDescent="0.15">
      <c r="B4" s="32" t="s">
        <v>6</v>
      </c>
      <c r="C4" s="33">
        <v>20</v>
      </c>
      <c r="D4" s="34" t="s">
        <v>7</v>
      </c>
    </row>
    <row r="5" spans="2:13" ht="14.25" thickBot="1" x14ac:dyDescent="0.2">
      <c r="B5" s="35" t="s">
        <v>17</v>
      </c>
      <c r="C5" s="36">
        <f>C4*C4/(2*C1*C3)</f>
        <v>120.71463061323033</v>
      </c>
      <c r="D5" s="37" t="s">
        <v>22</v>
      </c>
    </row>
    <row r="6" spans="2:13" ht="14.25" thickBot="1" x14ac:dyDescent="0.2"/>
    <row r="7" spans="2:13" ht="59.25" customHeight="1" x14ac:dyDescent="0.15">
      <c r="B7" s="15" t="s">
        <v>8</v>
      </c>
      <c r="C7" s="16" t="s">
        <v>9</v>
      </c>
      <c r="D7" s="16" t="s">
        <v>10</v>
      </c>
      <c r="E7" s="16" t="s">
        <v>11</v>
      </c>
      <c r="F7" s="16" t="s">
        <v>12</v>
      </c>
      <c r="G7" s="17" t="s">
        <v>13</v>
      </c>
      <c r="H7" s="17" t="s">
        <v>14</v>
      </c>
      <c r="I7" s="17" t="s">
        <v>15</v>
      </c>
      <c r="J7" s="17" t="s">
        <v>16</v>
      </c>
      <c r="K7" s="17" t="s">
        <v>18</v>
      </c>
      <c r="L7" s="17" t="s">
        <v>21</v>
      </c>
      <c r="M7" s="18" t="s">
        <v>20</v>
      </c>
    </row>
    <row r="8" spans="2:13" x14ac:dyDescent="0.15">
      <c r="B8" s="4">
        <v>0</v>
      </c>
      <c r="C8" s="5">
        <v>16.8</v>
      </c>
      <c r="D8" s="19">
        <v>17</v>
      </c>
      <c r="E8" s="19">
        <v>16.899999999999999</v>
      </c>
      <c r="F8" s="5">
        <v>16.5</v>
      </c>
      <c r="G8" s="19">
        <f>C8-16.8</f>
        <v>0</v>
      </c>
      <c r="H8" s="20">
        <f>D8-17</f>
        <v>0</v>
      </c>
      <c r="I8" s="5"/>
      <c r="J8" s="5"/>
      <c r="K8" s="5"/>
      <c r="L8" s="5"/>
      <c r="M8" s="21"/>
    </row>
    <row r="9" spans="2:13" x14ac:dyDescent="0.15">
      <c r="B9" s="4">
        <v>120</v>
      </c>
      <c r="C9" s="5">
        <v>21.3</v>
      </c>
      <c r="D9" s="19">
        <v>17</v>
      </c>
      <c r="E9" s="19">
        <v>17</v>
      </c>
      <c r="F9" s="5">
        <v>16.5</v>
      </c>
      <c r="G9" s="19">
        <f t="shared" ref="G9:G18" si="0">C9-16.8</f>
        <v>4.5</v>
      </c>
      <c r="H9" s="20">
        <f t="shared" ref="H9:H18" si="1">D9-17</f>
        <v>0</v>
      </c>
      <c r="I9" s="22">
        <f>H9/G9</f>
        <v>0</v>
      </c>
      <c r="J9" s="5" t="s">
        <v>19</v>
      </c>
      <c r="K9" s="5"/>
      <c r="L9" s="5"/>
      <c r="M9" s="21"/>
    </row>
    <row r="10" spans="2:13" x14ac:dyDescent="0.15">
      <c r="B10" s="4">
        <v>240</v>
      </c>
      <c r="C10" s="5">
        <v>23.1</v>
      </c>
      <c r="D10" s="19">
        <v>17.2</v>
      </c>
      <c r="E10" s="19">
        <v>17</v>
      </c>
      <c r="F10" s="5">
        <v>16.5</v>
      </c>
      <c r="G10" s="19">
        <f t="shared" si="0"/>
        <v>6.3000000000000007</v>
      </c>
      <c r="H10" s="20">
        <f t="shared" si="1"/>
        <v>0.19999999999999929</v>
      </c>
      <c r="I10" s="22">
        <f t="shared" ref="I10:I18" si="2">H10/G10</f>
        <v>3.1746031746031626E-2</v>
      </c>
      <c r="J10" s="5">
        <v>1.1456999999999999</v>
      </c>
      <c r="K10" s="38">
        <f>(C10+D10)/2</f>
        <v>20.149999999999999</v>
      </c>
      <c r="L10" s="23">
        <f t="shared" ref="L10:L18" si="3">0.02*0.02/(4*J10*J10*B10)</f>
        <v>3.1742924204446209E-7</v>
      </c>
      <c r="M10" s="24">
        <f t="shared" ref="M10:M18" si="4">2*$C$5*SQRT(L10*B10)/(G10*SQRT(PI()))</f>
        <v>0.18871373340426706</v>
      </c>
    </row>
    <row r="11" spans="2:13" x14ac:dyDescent="0.15">
      <c r="B11" s="4">
        <v>360</v>
      </c>
      <c r="C11" s="5">
        <v>24.5</v>
      </c>
      <c r="D11" s="19">
        <v>17.5</v>
      </c>
      <c r="E11" s="19">
        <v>17.100000000000001</v>
      </c>
      <c r="F11" s="5">
        <v>16.5</v>
      </c>
      <c r="G11" s="19">
        <f t="shared" si="0"/>
        <v>7.6999999999999993</v>
      </c>
      <c r="H11" s="20">
        <f t="shared" si="1"/>
        <v>0.5</v>
      </c>
      <c r="I11" s="22">
        <f t="shared" si="2"/>
        <v>6.4935064935064943E-2</v>
      </c>
      <c r="J11" s="5">
        <v>0.91649999999999998</v>
      </c>
      <c r="K11" s="38">
        <f t="shared" ref="K11:K18" si="5">(C11+D11)/2</f>
        <v>21</v>
      </c>
      <c r="L11" s="23">
        <f t="shared" si="3"/>
        <v>3.3069875555743392E-7</v>
      </c>
      <c r="M11" s="24">
        <f t="shared" si="4"/>
        <v>0.19301531709085146</v>
      </c>
    </row>
    <row r="12" spans="2:13" x14ac:dyDescent="0.15">
      <c r="B12" s="4">
        <v>480</v>
      </c>
      <c r="C12" s="5">
        <v>25.7</v>
      </c>
      <c r="D12" s="19">
        <v>17.899999999999999</v>
      </c>
      <c r="E12" s="19">
        <v>17.2</v>
      </c>
      <c r="F12" s="5">
        <v>16.5</v>
      </c>
      <c r="G12" s="19">
        <f t="shared" si="0"/>
        <v>8.8999999999999986</v>
      </c>
      <c r="H12" s="20">
        <f t="shared" si="1"/>
        <v>0.89999999999999858</v>
      </c>
      <c r="I12" s="22">
        <f t="shared" si="2"/>
        <v>0.10112359550561784</v>
      </c>
      <c r="J12" s="5">
        <v>0.76329999999999998</v>
      </c>
      <c r="K12" s="38">
        <f t="shared" si="5"/>
        <v>21.799999999999997</v>
      </c>
      <c r="L12" s="23">
        <f t="shared" si="3"/>
        <v>3.5757589790154269E-7</v>
      </c>
      <c r="M12" s="24">
        <f t="shared" si="4"/>
        <v>0.2005070743204026</v>
      </c>
    </row>
    <row r="13" spans="2:13" x14ac:dyDescent="0.15">
      <c r="B13" s="4">
        <v>600</v>
      </c>
      <c r="C13" s="5">
        <v>26.7</v>
      </c>
      <c r="D13" s="19">
        <v>18.399999999999999</v>
      </c>
      <c r="E13" s="19">
        <v>17.3</v>
      </c>
      <c r="F13" s="5">
        <v>16.5</v>
      </c>
      <c r="G13" s="19">
        <f t="shared" si="0"/>
        <v>9.8999999999999986</v>
      </c>
      <c r="H13" s="20">
        <f t="shared" si="1"/>
        <v>1.3999999999999986</v>
      </c>
      <c r="I13" s="22">
        <f t="shared" si="2"/>
        <v>0.1414141414141413</v>
      </c>
      <c r="J13" s="5">
        <v>0.6381</v>
      </c>
      <c r="K13" s="38">
        <f t="shared" si="5"/>
        <v>22.549999999999997</v>
      </c>
      <c r="L13" s="23">
        <f t="shared" si="3"/>
        <v>4.0932781798482138E-7</v>
      </c>
      <c r="M13" s="24">
        <f t="shared" si="4"/>
        <v>0.21562098709647695</v>
      </c>
    </row>
    <row r="14" spans="2:13" x14ac:dyDescent="0.15">
      <c r="B14" s="4">
        <v>720</v>
      </c>
      <c r="C14" s="5">
        <v>27.7</v>
      </c>
      <c r="D14" s="19">
        <v>18.899999999999999</v>
      </c>
      <c r="E14" s="19">
        <v>17.3</v>
      </c>
      <c r="F14" s="5">
        <v>16.5</v>
      </c>
      <c r="G14" s="19">
        <f t="shared" si="0"/>
        <v>10.899999999999999</v>
      </c>
      <c r="H14" s="20">
        <f t="shared" si="1"/>
        <v>1.8999999999999986</v>
      </c>
      <c r="I14" s="22">
        <f t="shared" si="2"/>
        <v>0.17431192660550449</v>
      </c>
      <c r="J14" s="5">
        <v>0.55559999999999998</v>
      </c>
      <c r="K14" s="38">
        <f t="shared" si="5"/>
        <v>23.299999999999997</v>
      </c>
      <c r="L14" s="23">
        <f t="shared" si="3"/>
        <v>4.4992800863907856E-7</v>
      </c>
      <c r="M14" s="24">
        <f t="shared" si="4"/>
        <v>0.22491904668331014</v>
      </c>
    </row>
    <row r="15" spans="2:13" x14ac:dyDescent="0.15">
      <c r="B15" s="4">
        <v>840</v>
      </c>
      <c r="C15" s="5">
        <v>28.5</v>
      </c>
      <c r="D15" s="19">
        <v>19.399999999999999</v>
      </c>
      <c r="E15" s="19">
        <v>17.399999999999999</v>
      </c>
      <c r="F15" s="5">
        <v>16.5</v>
      </c>
      <c r="G15" s="19">
        <f t="shared" si="0"/>
        <v>11.7</v>
      </c>
      <c r="H15" s="20">
        <f t="shared" si="1"/>
        <v>2.3999999999999986</v>
      </c>
      <c r="I15" s="22">
        <f t="shared" si="2"/>
        <v>0.20512820512820501</v>
      </c>
      <c r="J15" s="5">
        <v>0.48880000000000001</v>
      </c>
      <c r="K15" s="38">
        <f t="shared" si="5"/>
        <v>23.95</v>
      </c>
      <c r="L15" s="23">
        <f t="shared" si="3"/>
        <v>4.982626339314016E-7</v>
      </c>
      <c r="M15" s="24">
        <f t="shared" si="4"/>
        <v>0.23817595217941609</v>
      </c>
    </row>
    <row r="16" spans="2:13" x14ac:dyDescent="0.15">
      <c r="B16" s="4">
        <v>960</v>
      </c>
      <c r="C16" s="5">
        <v>29.3</v>
      </c>
      <c r="D16" s="19">
        <v>19.899999999999999</v>
      </c>
      <c r="E16" s="19">
        <v>17.5</v>
      </c>
      <c r="F16" s="5">
        <v>16.5</v>
      </c>
      <c r="G16" s="19">
        <f t="shared" si="0"/>
        <v>12.5</v>
      </c>
      <c r="H16" s="20">
        <f t="shared" si="1"/>
        <v>2.8999999999999986</v>
      </c>
      <c r="I16" s="22">
        <f t="shared" si="2"/>
        <v>0.23199999999999987</v>
      </c>
      <c r="J16" s="5">
        <v>0.43630000000000002</v>
      </c>
      <c r="K16" s="38">
        <f t="shared" si="5"/>
        <v>24.6</v>
      </c>
      <c r="L16" s="23">
        <f t="shared" si="3"/>
        <v>5.4721543777226261E-7</v>
      </c>
      <c r="M16" s="24">
        <f t="shared" si="4"/>
        <v>0.24975819270703514</v>
      </c>
    </row>
    <row r="17" spans="2:13" x14ac:dyDescent="0.15">
      <c r="B17" s="4">
        <v>1080</v>
      </c>
      <c r="C17" s="5">
        <v>30.1</v>
      </c>
      <c r="D17" s="19">
        <v>20.3</v>
      </c>
      <c r="E17" s="19">
        <v>17.5</v>
      </c>
      <c r="F17" s="5">
        <v>16.5</v>
      </c>
      <c r="G17" s="19">
        <f t="shared" si="0"/>
        <v>13.3</v>
      </c>
      <c r="H17" s="20">
        <f t="shared" si="1"/>
        <v>3.3000000000000007</v>
      </c>
      <c r="I17" s="22">
        <f t="shared" si="2"/>
        <v>0.24812030075187974</v>
      </c>
      <c r="J17" s="5">
        <v>0.40710000000000002</v>
      </c>
      <c r="K17" s="38">
        <f t="shared" si="5"/>
        <v>25.200000000000003</v>
      </c>
      <c r="L17" s="23">
        <f t="shared" si="3"/>
        <v>5.5869404168246845E-7</v>
      </c>
      <c r="M17" s="24">
        <f t="shared" si="4"/>
        <v>0.25157195558461243</v>
      </c>
    </row>
    <row r="18" spans="2:13" ht="14.25" thickBot="1" x14ac:dyDescent="0.2">
      <c r="B18" s="8">
        <v>1200</v>
      </c>
      <c r="C18" s="10">
        <v>30.8</v>
      </c>
      <c r="D18" s="25">
        <v>20.8</v>
      </c>
      <c r="E18" s="25">
        <v>17.600000000000001</v>
      </c>
      <c r="F18" s="10">
        <v>16.5</v>
      </c>
      <c r="G18" s="25">
        <f t="shared" si="0"/>
        <v>14</v>
      </c>
      <c r="H18" s="26">
        <f t="shared" si="1"/>
        <v>3.8000000000000007</v>
      </c>
      <c r="I18" s="14">
        <f t="shared" si="2"/>
        <v>0.27142857142857146</v>
      </c>
      <c r="J18" s="10">
        <v>0.37090000000000001</v>
      </c>
      <c r="K18" s="39">
        <f t="shared" si="5"/>
        <v>25.8</v>
      </c>
      <c r="L18" s="27">
        <f t="shared" si="3"/>
        <v>6.0576626973710694E-7</v>
      </c>
      <c r="M18" s="28">
        <f t="shared" si="4"/>
        <v>0.26231921262488794</v>
      </c>
    </row>
    <row r="55" spans="2:16" ht="14.25" thickBot="1" x14ac:dyDescent="0.2"/>
    <row r="56" spans="2:16" ht="40.5" x14ac:dyDescent="0.15">
      <c r="B56" s="41" t="s">
        <v>40</v>
      </c>
      <c r="C56" s="42" t="s">
        <v>38</v>
      </c>
      <c r="D56" s="43" t="s">
        <v>31</v>
      </c>
      <c r="E56" s="43" t="s">
        <v>39</v>
      </c>
      <c r="F56" s="42">
        <v>0</v>
      </c>
      <c r="G56" s="42">
        <v>120</v>
      </c>
      <c r="H56" s="42">
        <v>240</v>
      </c>
      <c r="I56" s="42">
        <v>360</v>
      </c>
      <c r="J56" s="42">
        <v>480</v>
      </c>
      <c r="K56" s="42">
        <v>600</v>
      </c>
      <c r="L56" s="42">
        <v>720</v>
      </c>
      <c r="M56" s="42">
        <v>840</v>
      </c>
      <c r="N56" s="42">
        <v>960</v>
      </c>
      <c r="O56" s="42">
        <v>1080</v>
      </c>
      <c r="P56" s="44">
        <v>1200</v>
      </c>
    </row>
    <row r="57" spans="2:16" x14ac:dyDescent="0.15">
      <c r="B57" s="45">
        <v>1</v>
      </c>
      <c r="C57" s="46">
        <v>2.9999999999999999E-7</v>
      </c>
      <c r="D57" s="47">
        <v>0.2</v>
      </c>
      <c r="E57" s="48" t="s">
        <v>10</v>
      </c>
      <c r="F57" s="49">
        <v>17</v>
      </c>
      <c r="G57" s="49">
        <v>17.031700000000001</v>
      </c>
      <c r="H57" s="49">
        <v>17.287199999999999</v>
      </c>
      <c r="I57" s="49">
        <v>17.7087</v>
      </c>
      <c r="J57" s="49">
        <v>18.200900000000001</v>
      </c>
      <c r="K57" s="49">
        <v>18.7197</v>
      </c>
      <c r="L57" s="49">
        <v>19.245000000000001</v>
      </c>
      <c r="M57" s="49">
        <v>19.767600000000002</v>
      </c>
      <c r="N57" s="49">
        <v>20.282599999999999</v>
      </c>
      <c r="O57" s="49">
        <v>20.788</v>
      </c>
      <c r="P57" s="50">
        <v>21.282800000000002</v>
      </c>
    </row>
    <row r="58" spans="2:16" x14ac:dyDescent="0.15">
      <c r="B58" s="45">
        <v>2</v>
      </c>
      <c r="C58" s="46">
        <v>2.9999999999999997E-8</v>
      </c>
      <c r="D58" s="47">
        <v>0.2</v>
      </c>
      <c r="E58" s="48"/>
      <c r="F58" s="49">
        <v>17</v>
      </c>
      <c r="G58" s="49">
        <v>17</v>
      </c>
      <c r="H58" s="49">
        <v>17</v>
      </c>
      <c r="I58" s="49">
        <v>17</v>
      </c>
      <c r="J58" s="49">
        <v>17.0002</v>
      </c>
      <c r="K58" s="49">
        <v>17.000800000000002</v>
      </c>
      <c r="L58" s="49">
        <v>17.002600000000001</v>
      </c>
      <c r="M58" s="49">
        <v>17.0062</v>
      </c>
      <c r="N58" s="49">
        <v>17.012</v>
      </c>
      <c r="O58" s="49">
        <v>17.020399999999999</v>
      </c>
      <c r="P58" s="50">
        <v>17.031700000000001</v>
      </c>
    </row>
    <row r="59" spans="2:16" x14ac:dyDescent="0.15">
      <c r="B59" s="45">
        <v>3</v>
      </c>
      <c r="C59" s="46">
        <v>3.0000000000000001E-6</v>
      </c>
      <c r="D59" s="47">
        <v>0.2</v>
      </c>
      <c r="E59" s="48"/>
      <c r="F59" s="49">
        <v>17</v>
      </c>
      <c r="G59" s="49">
        <v>21.282800000000002</v>
      </c>
      <c r="H59" s="49">
        <v>25.6843</v>
      </c>
      <c r="I59" s="49">
        <v>29.351400000000002</v>
      </c>
      <c r="J59" s="49">
        <v>32.547199999999997</v>
      </c>
      <c r="K59" s="49">
        <v>35.414000000000001</v>
      </c>
      <c r="L59" s="49">
        <v>38.035499999999999</v>
      </c>
      <c r="M59" s="49">
        <v>40.465200000000003</v>
      </c>
      <c r="N59" s="49">
        <v>42.739800000000002</v>
      </c>
      <c r="O59" s="49">
        <v>44.8855</v>
      </c>
      <c r="P59" s="50">
        <v>46.921999999999997</v>
      </c>
    </row>
    <row r="60" spans="2:16" x14ac:dyDescent="0.15">
      <c r="B60" s="45">
        <v>4</v>
      </c>
      <c r="C60" s="46">
        <v>2.9999999999999999E-7</v>
      </c>
      <c r="D60" s="47">
        <v>2</v>
      </c>
      <c r="E60" s="48"/>
      <c r="F60" s="49">
        <v>17</v>
      </c>
      <c r="G60" s="49">
        <v>17.0032</v>
      </c>
      <c r="H60" s="49">
        <v>17.028700000000001</v>
      </c>
      <c r="I60" s="49">
        <v>17.070900000000002</v>
      </c>
      <c r="J60" s="49">
        <v>17.120100000000001</v>
      </c>
      <c r="K60" s="49">
        <v>17.172000000000001</v>
      </c>
      <c r="L60" s="49">
        <v>17.224499999999999</v>
      </c>
      <c r="M60" s="49">
        <v>17.276800000000001</v>
      </c>
      <c r="N60" s="49">
        <v>17.328299999999999</v>
      </c>
      <c r="O60" s="49">
        <v>17.378799999999998</v>
      </c>
      <c r="P60" s="50">
        <v>17.4283</v>
      </c>
    </row>
    <row r="61" spans="2:16" ht="14.25" thickBot="1" x14ac:dyDescent="0.2">
      <c r="B61" s="51">
        <v>5</v>
      </c>
      <c r="C61" s="52">
        <v>2.9999999999999999E-7</v>
      </c>
      <c r="D61" s="53">
        <v>0.02</v>
      </c>
      <c r="E61" s="54"/>
      <c r="F61" s="55">
        <v>17</v>
      </c>
      <c r="G61" s="55">
        <v>17.3169</v>
      </c>
      <c r="H61" s="55">
        <v>19.872</v>
      </c>
      <c r="I61" s="55">
        <v>24.087399999999999</v>
      </c>
      <c r="J61" s="55">
        <v>29.008900000000001</v>
      </c>
      <c r="K61" s="55">
        <v>34.196599999999997</v>
      </c>
      <c r="L61" s="55">
        <v>39.450400000000002</v>
      </c>
      <c r="M61" s="55">
        <v>44.675600000000003</v>
      </c>
      <c r="N61" s="55">
        <v>49.826099999999997</v>
      </c>
      <c r="O61" s="55">
        <v>54.880200000000002</v>
      </c>
      <c r="P61" s="56">
        <v>59.828400000000002</v>
      </c>
    </row>
    <row r="91" spans="3:19" ht="14.25" thickBot="1" x14ac:dyDescent="0.2"/>
    <row r="92" spans="3:19" x14ac:dyDescent="0.15">
      <c r="C92" s="1"/>
      <c r="D92" s="2" t="s">
        <v>32</v>
      </c>
      <c r="E92" s="2" t="s">
        <v>33</v>
      </c>
      <c r="F92" s="2" t="s">
        <v>34</v>
      </c>
      <c r="G92" s="2" t="s">
        <v>24</v>
      </c>
      <c r="H92" s="2" t="s">
        <v>35</v>
      </c>
      <c r="I92" s="3" t="s">
        <v>36</v>
      </c>
    </row>
    <row r="93" spans="3:19" ht="14.25" thickBot="1" x14ac:dyDescent="0.2">
      <c r="C93" s="4"/>
      <c r="D93" s="5">
        <v>3.4260000000000002</v>
      </c>
      <c r="E93" s="6">
        <v>1.31</v>
      </c>
      <c r="F93" s="6">
        <v>2.73</v>
      </c>
      <c r="G93" s="5">
        <v>22.690999999999999</v>
      </c>
      <c r="H93" s="5"/>
      <c r="I93" s="7"/>
    </row>
    <row r="94" spans="3:19" x14ac:dyDescent="0.15">
      <c r="C94" s="4"/>
      <c r="D94" s="5">
        <v>3.4260000000000002</v>
      </c>
      <c r="E94" s="6">
        <v>1.304</v>
      </c>
      <c r="F94" s="6">
        <v>2.73</v>
      </c>
      <c r="G94" s="5">
        <v>22.713999999999999</v>
      </c>
      <c r="H94" s="5"/>
      <c r="I94" s="7"/>
      <c r="K94" s="12" t="s">
        <v>23</v>
      </c>
      <c r="L94" s="2" t="s">
        <v>24</v>
      </c>
      <c r="M94" s="2" t="s">
        <v>25</v>
      </c>
      <c r="N94" s="2" t="s">
        <v>30</v>
      </c>
      <c r="O94" s="2" t="s">
        <v>26</v>
      </c>
      <c r="P94" s="2" t="s">
        <v>27</v>
      </c>
      <c r="Q94" s="2" t="s">
        <v>29</v>
      </c>
      <c r="R94" s="2" t="s">
        <v>28</v>
      </c>
      <c r="S94" s="13" t="s">
        <v>31</v>
      </c>
    </row>
    <row r="95" spans="3:19" ht="14.25" thickBot="1" x14ac:dyDescent="0.2">
      <c r="C95" s="4"/>
      <c r="D95" s="5">
        <v>3.4239999999999999</v>
      </c>
      <c r="E95" s="6">
        <v>1.306</v>
      </c>
      <c r="F95" s="6">
        <v>2.7330000000000001</v>
      </c>
      <c r="G95" s="5">
        <v>22.722000000000001</v>
      </c>
      <c r="H95" s="5"/>
      <c r="I95" s="7"/>
      <c r="K95" s="8">
        <v>2.7309999999999999</v>
      </c>
      <c r="L95" s="10">
        <v>22.741</v>
      </c>
      <c r="M95" s="10">
        <v>0.01</v>
      </c>
      <c r="N95" s="14">
        <f>(100*K95/1000-0.1*L95/1000)*1000*L95/1000</f>
        <v>6.1588517918999983</v>
      </c>
      <c r="O95" s="10">
        <v>80</v>
      </c>
      <c r="P95" s="10">
        <v>150</v>
      </c>
      <c r="Q95" s="10">
        <v>82</v>
      </c>
      <c r="R95" s="10">
        <v>38</v>
      </c>
      <c r="S95" s="40">
        <f>N95*(P95-O95)/1000/(2*PI()*(O95/1000)*(P95/1000)*(Q95-R95))</f>
        <v>0.12995230956740214</v>
      </c>
    </row>
    <row r="96" spans="3:19" ht="14.25" thickBot="1" x14ac:dyDescent="0.2">
      <c r="C96" s="8" t="s">
        <v>37</v>
      </c>
      <c r="D96" s="9">
        <f>AVERAGE(D93:D95)</f>
        <v>3.4253333333333331</v>
      </c>
      <c r="E96" s="9">
        <f>AVERAGE(E93:E95)</f>
        <v>1.3066666666666666</v>
      </c>
      <c r="F96" s="9">
        <f>AVERAGE(F93:F95)</f>
        <v>2.7309999999999999</v>
      </c>
      <c r="G96" s="10">
        <f>AVERAGE(G93:G95)</f>
        <v>22.709000000000003</v>
      </c>
      <c r="H96" s="10">
        <v>82</v>
      </c>
      <c r="I96" s="11">
        <v>38</v>
      </c>
    </row>
  </sheetData>
  <mergeCells count="1">
    <mergeCell ref="E57:E6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2013-11-06T17:30:06Z</dcterms:modified>
</cp:coreProperties>
</file>