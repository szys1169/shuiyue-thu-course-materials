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fileSharing readOnlyRecommended="1"/>
  <workbookPr showInkAnnotation="0" codeName="ThisWorkbook" defaultThemeVersion="124226"/>
  <workbookProtection workbookPassword="A85F" lockStructure="1"/>
  <bookViews>
    <workbookView xWindow="600" yWindow="75" windowWidth="19395" windowHeight="9855"/>
  </bookViews>
  <sheets>
    <sheet name="Optimized Gnomesort" sheetId="1" r:id="rId1"/>
  </sheets>
  <calcPr calcId="144525" iterate="1" iterateCount="1" calcOnSave="0"/>
</workbook>
</file>

<file path=xl/calcChain.xml><?xml version="1.0" encoding="utf-8"?>
<calcChain xmlns="http://schemas.openxmlformats.org/spreadsheetml/2006/main">
  <c r="B1" i="1" l="1"/>
  <c r="C1" i="1"/>
  <c r="D1" i="1"/>
  <c r="E1" i="1"/>
  <c r="F1" i="1"/>
  <c r="G1" i="1"/>
  <c r="H1" i="1"/>
  <c r="I1" i="1"/>
  <c r="J1" i="1"/>
  <c r="K1" i="1"/>
  <c r="L1" i="1"/>
  <c r="M1" i="1"/>
  <c r="N1" i="1"/>
  <c r="O1" i="1"/>
  <c r="P1" i="1"/>
  <c r="Q1" i="1"/>
  <c r="R1" i="1"/>
  <c r="S1" i="1"/>
  <c r="T1" i="1"/>
  <c r="U1" i="1"/>
  <c r="V1" i="1"/>
  <c r="W1" i="1"/>
  <c r="X1" i="1"/>
  <c r="Y1" i="1"/>
  <c r="Z1" i="1"/>
  <c r="AA1" i="1"/>
  <c r="AB1" i="1"/>
  <c r="AC1" i="1"/>
  <c r="AD1" i="1"/>
  <c r="AE1" i="1"/>
  <c r="AF1" i="1"/>
  <c r="AG1" i="1"/>
  <c r="AH1" i="1"/>
  <c r="AI1" i="1"/>
  <c r="AJ1" i="1"/>
  <c r="E53" i="1" l="1"/>
  <c r="E55" i="1" s="1"/>
  <c r="F53" i="1"/>
  <c r="G53" i="1"/>
  <c r="G55" i="1" s="1"/>
  <c r="H53" i="1"/>
  <c r="I53" i="1"/>
  <c r="I55" i="1" s="1"/>
  <c r="J53" i="1"/>
  <c r="K53" i="1"/>
  <c r="K55" i="1" s="1"/>
  <c r="L53" i="1"/>
  <c r="M53" i="1"/>
  <c r="M55" i="1" s="1"/>
  <c r="N53" i="1"/>
  <c r="O53" i="1"/>
  <c r="O55" i="1" s="1"/>
  <c r="P53" i="1"/>
  <c r="Q53" i="1"/>
  <c r="Q55" i="1" s="1"/>
  <c r="R53" i="1"/>
  <c r="S53" i="1"/>
  <c r="S55" i="1" s="1"/>
  <c r="T53" i="1"/>
  <c r="U53" i="1"/>
  <c r="U55" i="1" s="1"/>
  <c r="V53" i="1"/>
  <c r="W53" i="1"/>
  <c r="W55" i="1" s="1"/>
  <c r="X53" i="1"/>
  <c r="Y53" i="1"/>
  <c r="Y55" i="1" s="1"/>
  <c r="Z53" i="1"/>
  <c r="AA53" i="1"/>
  <c r="AA55" i="1" s="1"/>
  <c r="AB53" i="1"/>
  <c r="AC53" i="1"/>
  <c r="AC55" i="1" s="1"/>
  <c r="AD53" i="1"/>
  <c r="AE53" i="1"/>
  <c r="AE55" i="1" s="1"/>
  <c r="AF53" i="1"/>
  <c r="AG53" i="1"/>
  <c r="AG55" i="1" s="1"/>
  <c r="AH53" i="1"/>
  <c r="AI53" i="1"/>
  <c r="AI55" i="1" s="1"/>
  <c r="AJ53" i="1"/>
  <c r="D54" i="1"/>
  <c r="AK54" i="1"/>
  <c r="F55" i="1"/>
  <c r="H55" i="1"/>
  <c r="J55" i="1"/>
  <c r="L55" i="1"/>
  <c r="N55" i="1"/>
  <c r="P55" i="1"/>
  <c r="R55" i="1"/>
  <c r="T55" i="1"/>
  <c r="V55" i="1"/>
  <c r="X55" i="1"/>
  <c r="Z55" i="1"/>
  <c r="AB55" i="1"/>
  <c r="AD55" i="1"/>
  <c r="AF55" i="1"/>
  <c r="AH55" i="1"/>
  <c r="AJ55" i="1"/>
  <c r="E57" i="1"/>
  <c r="D55" i="1"/>
  <c r="D58" i="1" l="1" a="1"/>
  <c r="D58" i="1" s="1"/>
  <c r="U58" i="1" s="1"/>
  <c r="E58" i="1"/>
</calcChain>
</file>

<file path=xl/comments1.xml><?xml version="1.0" encoding="utf-8"?>
<comments xmlns="http://schemas.openxmlformats.org/spreadsheetml/2006/main">
  <authors>
    <author>X270</author>
  </authors>
  <commentList>
    <comment ref="A1" authorId="0">
      <text>
        <r>
          <rPr>
            <sz val="9"/>
            <color indexed="81"/>
            <rFont val="宋体"/>
            <family val="3"/>
            <charset val="134"/>
          </rPr>
          <t>Status</t>
        </r>
      </text>
    </comment>
    <comment ref="D53" authorId="0">
      <text>
        <r>
          <rPr>
            <sz val="18"/>
            <color indexed="81"/>
            <rFont val="Consolas"/>
            <family val="3"/>
          </rPr>
          <t>sentinel</t>
        </r>
      </text>
    </comment>
    <comment ref="AK53" authorId="0">
      <text>
        <r>
          <rPr>
            <sz val="18"/>
            <color indexed="81"/>
            <rFont val="Consolas"/>
            <family val="3"/>
          </rPr>
          <t>sentinel</t>
        </r>
      </text>
    </comment>
    <comment ref="D54" authorId="0">
      <text>
        <r>
          <rPr>
            <sz val="18"/>
            <color indexed="81"/>
            <rFont val="Consolas"/>
            <family val="3"/>
          </rPr>
          <t>i</t>
        </r>
      </text>
    </comment>
    <comment ref="AK54" authorId="0">
      <text>
        <r>
          <rPr>
            <sz val="18"/>
            <color indexed="81"/>
            <rFont val="Consolas"/>
            <family val="3"/>
          </rPr>
          <t>last sorted</t>
        </r>
      </text>
    </comment>
    <comment ref="D58" authorId="0">
      <text>
        <r>
          <rPr>
            <sz val="18"/>
            <color indexed="81"/>
            <rFont val="Consolas"/>
            <family val="3"/>
          </rPr>
          <t>Inversion Number</t>
        </r>
      </text>
    </comment>
  </commentList>
</comments>
</file>

<file path=xl/sharedStrings.xml><?xml version="1.0" encoding="utf-8"?>
<sst xmlns="http://schemas.openxmlformats.org/spreadsheetml/2006/main" count="2" uniqueCount="2">
  <si>
    <t>玩法： 1）按F9（随机生成序列）；  2）关闭Reset（转入Run）；  3）反复按下F9（单步向前）；  4）随时打开Reset，即可重玩</t>
    <phoneticPr fontId="2" type="noConversion"/>
  </si>
  <si>
    <t>配套教学演示：数据结构（C++语言版），ISBN-7-302-29652-2，Copyright 2011-2018，邓俊辉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</si>
</sst>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宋体"/>
      <family val="2"/>
      <charset val="134"/>
      <scheme val="minor"/>
    </font>
    <font>
      <sz val="10"/>
      <name val="Calibri"/>
      <family val="2"/>
    </font>
    <font>
      <sz val="8"/>
      <name val="Consolas"/>
      <family val="3"/>
    </font>
    <font>
      <sz val="14"/>
      <color theme="0"/>
      <name val="Consolas"/>
      <family val="3"/>
    </font>
    <font>
      <b/>
      <sz val="14"/>
      <color theme="0"/>
      <name val="Consolas"/>
      <family val="3"/>
    </font>
    <font>
      <sz val="18"/>
      <color theme="0"/>
      <name val="Consolas"/>
      <family val="3"/>
    </font>
    <font>
      <sz val="11"/>
      <color rgb="FF000000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20"/>
      <color theme="0"/>
      <name val="Consolas"/>
      <family val="3"/>
    </font>
    <font>
      <i/>
      <sz val="14"/>
      <name val="Consolas"/>
      <family val="3"/>
    </font>
    <font>
      <b/>
      <sz val="18"/>
      <color theme="0"/>
      <name val="Consolas"/>
      <family val="3"/>
    </font>
    <font>
      <b/>
      <sz val="18"/>
      <name val="Consolas"/>
      <family val="3"/>
    </font>
    <font>
      <sz val="20"/>
      <color theme="0"/>
      <name val="Consolas"/>
      <family val="3"/>
    </font>
    <font>
      <sz val="14"/>
      <name val="微软雅黑"/>
      <family val="2"/>
      <charset val="134"/>
    </font>
    <font>
      <b/>
      <sz val="16"/>
      <color theme="2" tint="-0.249977111117893"/>
      <name val="Consolas"/>
      <family val="3"/>
    </font>
    <font>
      <sz val="14"/>
      <color theme="2" tint="-0.249977111117893"/>
      <name val="Consolas"/>
      <family val="3"/>
    </font>
    <font>
      <b/>
      <sz val="20"/>
      <color theme="2" tint="-0.249977111117893"/>
      <name val="Consolas"/>
      <family val="3"/>
    </font>
    <font>
      <b/>
      <sz val="14"/>
      <color theme="2" tint="-0.249977111117893"/>
      <name val="Consolas"/>
      <family val="3"/>
    </font>
    <font>
      <b/>
      <sz val="18"/>
      <color theme="2" tint="-0.249977111117893"/>
      <name val="Consolas"/>
      <family val="3"/>
    </font>
    <font>
      <sz val="20"/>
      <color theme="2" tint="-0.249977111117893"/>
      <name val="Consolas"/>
      <family val="3"/>
    </font>
    <font>
      <sz val="14"/>
      <color theme="2" tint="-0.249977111117893"/>
      <name val="微软雅黑"/>
      <family val="2"/>
      <charset val="134"/>
    </font>
    <font>
      <sz val="6"/>
      <color theme="2" tint="-0.249977111117893"/>
      <name val="Consolas"/>
      <family val="3"/>
    </font>
    <font>
      <i/>
      <sz val="14"/>
      <color theme="2" tint="-0.249977111117893"/>
      <name val="Consolas"/>
      <family val="3"/>
    </font>
    <font>
      <sz val="18"/>
      <color indexed="81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8">
    <xf numFmtId="0" fontId="0" fillId="0" borderId="0" xfId="0">
      <alignment vertical="center"/>
    </xf>
    <xf numFmtId="0" fontId="4" fillId="0" borderId="0" xfId="0" applyFont="1" applyFill="1" applyBorder="1" applyAlignment="1" applyProtection="1">
      <alignment horizontal="center" vertical="center"/>
    </xf>
    <xf numFmtId="0" fontId="8" fillId="0" borderId="0" xfId="0" applyFont="1" applyFill="1" applyBorder="1" applyAlignment="1" applyProtection="1">
      <alignment horizontal="center" vertical="center"/>
    </xf>
    <xf numFmtId="0" fontId="10" fillId="0" borderId="0" xfId="0" applyFont="1" applyFill="1" applyBorder="1" applyAlignment="1" applyProtection="1">
      <alignment horizontal="center" vertical="center"/>
    </xf>
    <xf numFmtId="0" fontId="11" fillId="0" borderId="0" xfId="0" applyFont="1" applyFill="1" applyBorder="1" applyAlignment="1" applyProtection="1">
      <alignment horizontal="center" vertical="center"/>
    </xf>
    <xf numFmtId="0" fontId="3" fillId="0" borderId="0" xfId="0" applyFont="1" applyFill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horizontal="center" vertical="center"/>
    </xf>
    <xf numFmtId="0" fontId="9" fillId="0" borderId="0" xfId="0" applyFont="1" applyFill="1" applyBorder="1" applyAlignment="1" applyProtection="1">
      <alignment horizontal="center" vertical="center"/>
    </xf>
    <xf numFmtId="0" fontId="12" fillId="0" borderId="0" xfId="0" applyFont="1" applyFill="1" applyBorder="1" applyAlignment="1" applyProtection="1">
      <alignment horizontal="center" vertical="center"/>
    </xf>
    <xf numFmtId="0" fontId="13" fillId="0" borderId="0" xfId="0" applyFont="1" applyFill="1" applyBorder="1" applyAlignment="1" applyProtection="1">
      <alignment horizontal="center" vertical="center"/>
    </xf>
    <xf numFmtId="0" fontId="14" fillId="0" borderId="0" xfId="0" applyFont="1" applyFill="1" applyBorder="1" applyAlignment="1" applyProtection="1">
      <alignment horizontal="center" vertical="center" shrinkToFit="1"/>
      <protection locked="0"/>
    </xf>
    <xf numFmtId="0" fontId="15" fillId="0" borderId="0" xfId="0" applyFont="1" applyFill="1" applyBorder="1" applyAlignment="1" applyProtection="1">
      <alignment horizontal="center" vertical="center" shrinkToFit="1"/>
    </xf>
    <xf numFmtId="0" fontId="16" fillId="0" borderId="0" xfId="0" applyFont="1" applyFill="1" applyBorder="1" applyAlignment="1" applyProtection="1">
      <alignment horizontal="center" vertical="center"/>
    </xf>
    <xf numFmtId="0" fontId="16" fillId="0" borderId="0" xfId="0" applyFont="1" applyFill="1" applyBorder="1" applyAlignment="1" applyProtection="1">
      <alignment horizontal="center" vertical="center" shrinkToFit="1"/>
    </xf>
    <xf numFmtId="0" fontId="17" fillId="0" borderId="0" xfId="0" applyFont="1" applyFill="1" applyBorder="1" applyAlignment="1" applyProtection="1">
      <alignment horizontal="center" vertical="center" shrinkToFit="1"/>
    </xf>
    <xf numFmtId="0" fontId="18" fillId="0" borderId="0" xfId="0" applyFont="1" applyFill="1" applyBorder="1" applyAlignment="1" applyProtection="1">
      <alignment horizontal="center" vertical="center" shrinkToFit="1"/>
    </xf>
    <xf numFmtId="0" fontId="19" fillId="0" borderId="0" xfId="0" applyFont="1" applyFill="1" applyBorder="1" applyAlignment="1" applyProtection="1">
      <alignment horizontal="center" vertical="center" shrinkToFit="1"/>
    </xf>
    <xf numFmtId="0" fontId="20" fillId="0" borderId="0" xfId="0" applyFont="1" applyFill="1" applyBorder="1" applyAlignment="1" applyProtection="1">
      <alignment horizontal="center" vertical="center" shrinkToFit="1"/>
    </xf>
    <xf numFmtId="0" fontId="15" fillId="0" borderId="0" xfId="0" applyFont="1" applyFill="1" applyBorder="1" applyAlignment="1" applyProtection="1">
      <alignment horizontal="center" vertical="center"/>
    </xf>
    <xf numFmtId="0" fontId="18" fillId="0" borderId="0" xfId="0" applyFont="1" applyFill="1" applyBorder="1" applyAlignment="1" applyProtection="1">
      <alignment horizontal="center" vertical="center"/>
    </xf>
    <xf numFmtId="0" fontId="22" fillId="0" borderId="0" xfId="0" applyFont="1" applyFill="1" applyBorder="1" applyAlignment="1" applyProtection="1">
      <alignment horizontal="center" vertical="center"/>
    </xf>
    <xf numFmtId="0" fontId="19" fillId="0" borderId="0" xfId="0" applyFont="1" applyFill="1" applyBorder="1" applyAlignment="1" applyProtection="1">
      <alignment horizontal="center" vertical="center"/>
    </xf>
    <xf numFmtId="0" fontId="17" fillId="0" borderId="0" xfId="0" applyFont="1" applyFill="1" applyBorder="1" applyAlignment="1" applyProtection="1">
      <alignment horizontal="center" vertical="center"/>
    </xf>
    <xf numFmtId="0" fontId="21" fillId="0" borderId="0" xfId="0" applyFont="1" applyFill="1" applyBorder="1" applyAlignment="1" applyProtection="1">
      <alignment horizontal="center" vertical="center" shrinkToFit="1"/>
    </xf>
    <xf numFmtId="0" fontId="4" fillId="4" borderId="0" xfId="0" applyFont="1" applyFill="1" applyBorder="1" applyAlignment="1" applyProtection="1">
      <alignment horizontal="center" vertical="center"/>
    </xf>
    <xf numFmtId="0" fontId="8" fillId="3" borderId="0" xfId="0" applyFont="1" applyFill="1" applyBorder="1" applyAlignment="1" applyProtection="1">
      <alignment horizontal="center" vertical="center"/>
    </xf>
    <xf numFmtId="0" fontId="8" fillId="2" borderId="0" xfId="0" applyFont="1" applyFill="1" applyBorder="1" applyAlignment="1" applyProtection="1">
      <alignment horizontal="center" vertical="center"/>
    </xf>
    <xf numFmtId="0" fontId="13" fillId="0" borderId="0" xfId="0" applyFont="1" applyFill="1" applyBorder="1" applyAlignment="1" applyProtection="1">
      <alignment horizontal="center" vertical="center"/>
    </xf>
  </cellXfs>
  <cellStyles count="2">
    <cellStyle name="常规" xfId="0" builtinId="0"/>
    <cellStyle name="常规 2" xfId="1"/>
  </cellStyles>
  <dxfs count="5">
    <dxf>
      <fill>
        <patternFill>
          <bgColor rgb="FFFFC000"/>
        </patternFill>
      </fill>
    </dxf>
    <dxf>
      <fill>
        <patternFill>
          <bgColor rgb="FF0070C0"/>
        </patternFill>
      </fill>
      <border>
        <left style="thin">
          <color theme="0"/>
        </left>
        <right style="thin">
          <color theme="0"/>
        </right>
        <top/>
      </border>
    </dxf>
    <dxf>
      <fill>
        <patternFill>
          <bgColor rgb="FF00B050"/>
        </patternFill>
      </fill>
      <border>
        <left style="thin">
          <color theme="0"/>
        </left>
        <right style="thin">
          <color theme="0"/>
        </right>
        <top/>
        <bottom/>
      </border>
    </dxf>
    <dxf>
      <fill>
        <patternFill>
          <bgColor rgb="FF006600"/>
        </patternFill>
      </fill>
      <border>
        <left style="thin">
          <color theme="0"/>
        </left>
        <right style="thin">
          <color theme="0"/>
        </right>
        <top/>
        <bottom/>
      </border>
    </dxf>
    <dxf>
      <fill>
        <patternFill>
          <bgColor rgb="FFC00000"/>
        </patternFill>
      </fill>
      <border>
        <left style="thin">
          <color theme="0"/>
        </left>
        <right style="thin">
          <color theme="0"/>
        </right>
      </border>
    </dxf>
  </dxfs>
  <tableStyles count="0" defaultTableStyle="TableStyleMedium2" defaultPivotStyle="PivotStyleLight16"/>
  <colors>
    <mruColors>
      <color rgb="FF006600"/>
      <color rgb="FF339966"/>
      <color rgb="FFFFFF99"/>
      <color rgb="FFFF3366"/>
      <color rgb="FF3333FF"/>
      <color rgb="FFFF66A2"/>
      <color rgb="FFFF9900"/>
      <color rgb="FF339933"/>
      <color rgb="FF400000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fmlaLink="A1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190500</xdr:colOff>
          <xdr:row>56</xdr:row>
          <xdr:rowOff>95250</xdr:rowOff>
        </xdr:from>
        <xdr:to>
          <xdr:col>6</xdr:col>
          <xdr:colOff>276225</xdr:colOff>
          <xdr:row>56</xdr:row>
          <xdr:rowOff>523875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altLang="zh-CN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Reset/Run</a:t>
              </a:r>
            </a:p>
          </xdr:txBody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K61"/>
  <sheetViews>
    <sheetView showGridLines="0" showRowColHeaders="0" tabSelected="1" topLeftCell="A2" zoomScale="78" zoomScaleNormal="78" workbookViewId="0">
      <selection activeCell="A2" sqref="A2"/>
    </sheetView>
  </sheetViews>
  <sheetFormatPr defaultColWidth="6.125" defaultRowHeight="21.95" customHeight="1" x14ac:dyDescent="0.15"/>
  <cols>
    <col min="1" max="1" width="6.125" style="11" customWidth="1"/>
    <col min="2" max="4" width="6.125" style="11" hidden="1" customWidth="1"/>
    <col min="5" max="36" width="6.125" style="5"/>
    <col min="37" max="37" width="7.25" style="18" hidden="1" customWidth="1"/>
    <col min="38" max="16384" width="6.125" style="5"/>
  </cols>
  <sheetData>
    <row r="1" spans="1:37" s="18" customFormat="1" ht="20.25" hidden="1" x14ac:dyDescent="0.15">
      <c r="A1" s="10" t="b">
        <v>1</v>
      </c>
      <c r="B1" s="11">
        <f>COLUMN()</f>
        <v>2</v>
      </c>
      <c r="C1" s="11">
        <f>COLUMN()</f>
        <v>3</v>
      </c>
      <c r="D1" s="11">
        <f>COLUMN()</f>
        <v>4</v>
      </c>
      <c r="E1" s="18">
        <f>COLUMN()</f>
        <v>5</v>
      </c>
      <c r="F1" s="18">
        <f>COLUMN()</f>
        <v>6</v>
      </c>
      <c r="G1" s="18">
        <f>COLUMN()</f>
        <v>7</v>
      </c>
      <c r="H1" s="18">
        <f>COLUMN()</f>
        <v>8</v>
      </c>
      <c r="I1" s="18">
        <f>COLUMN()</f>
        <v>9</v>
      </c>
      <c r="J1" s="18">
        <f>COLUMN()</f>
        <v>10</v>
      </c>
      <c r="K1" s="18">
        <f>COLUMN()</f>
        <v>11</v>
      </c>
      <c r="L1" s="18">
        <f>COLUMN()</f>
        <v>12</v>
      </c>
      <c r="M1" s="18">
        <f>COLUMN()</f>
        <v>13</v>
      </c>
      <c r="N1" s="18">
        <f>COLUMN()</f>
        <v>14</v>
      </c>
      <c r="O1" s="18">
        <f>COLUMN()</f>
        <v>15</v>
      </c>
      <c r="P1" s="18">
        <f>COLUMN()</f>
        <v>16</v>
      </c>
      <c r="Q1" s="18">
        <f>COLUMN()</f>
        <v>17</v>
      </c>
      <c r="R1" s="18">
        <f>COLUMN()</f>
        <v>18</v>
      </c>
      <c r="S1" s="18">
        <f>COLUMN()</f>
        <v>19</v>
      </c>
      <c r="T1" s="18">
        <f>COLUMN()</f>
        <v>20</v>
      </c>
      <c r="U1" s="18">
        <f>COLUMN()</f>
        <v>21</v>
      </c>
      <c r="V1" s="18">
        <f>COLUMN()</f>
        <v>22</v>
      </c>
      <c r="W1" s="18">
        <f>COLUMN()</f>
        <v>23</v>
      </c>
      <c r="X1" s="18">
        <f>COLUMN()</f>
        <v>24</v>
      </c>
      <c r="Y1" s="18">
        <f>COLUMN()</f>
        <v>25</v>
      </c>
      <c r="Z1" s="18">
        <f>COLUMN()</f>
        <v>26</v>
      </c>
      <c r="AA1" s="18">
        <f>COLUMN()</f>
        <v>27</v>
      </c>
      <c r="AB1" s="18">
        <f>COLUMN()</f>
        <v>28</v>
      </c>
      <c r="AC1" s="18">
        <f>COLUMN()</f>
        <v>29</v>
      </c>
      <c r="AD1" s="18">
        <f>COLUMN()</f>
        <v>30</v>
      </c>
      <c r="AE1" s="18">
        <f>COLUMN()</f>
        <v>31</v>
      </c>
      <c r="AF1" s="18">
        <f>COLUMN()</f>
        <v>32</v>
      </c>
      <c r="AG1" s="18">
        <f>COLUMN()</f>
        <v>33</v>
      </c>
      <c r="AH1" s="18">
        <f>COLUMN()</f>
        <v>34</v>
      </c>
      <c r="AI1" s="18">
        <f>COLUMN()</f>
        <v>35</v>
      </c>
      <c r="AJ1" s="18">
        <f>COLUMN()</f>
        <v>36</v>
      </c>
    </row>
    <row r="2" spans="1:37" s="18" customFormat="1" ht="20.25" x14ac:dyDescent="0.15">
      <c r="A2" s="10"/>
      <c r="B2" s="11"/>
      <c r="C2" s="11"/>
      <c r="D2" s="11"/>
    </row>
    <row r="3" spans="1:37" s="1" customFormat="1" ht="8.1" customHeight="1" x14ac:dyDescent="0.15">
      <c r="A3" s="14"/>
      <c r="B3" s="14"/>
      <c r="D3" s="23">
        <v>50</v>
      </c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2"/>
    </row>
    <row r="4" spans="1:37" s="1" customFormat="1" ht="8.1" customHeight="1" x14ac:dyDescent="0.15">
      <c r="A4" s="14"/>
      <c r="B4" s="14"/>
      <c r="D4" s="23">
        <v>49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2"/>
    </row>
    <row r="5" spans="1:37" s="1" customFormat="1" ht="8.1" customHeight="1" x14ac:dyDescent="0.15">
      <c r="A5" s="14"/>
      <c r="B5" s="14"/>
      <c r="D5" s="23">
        <v>48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2"/>
    </row>
    <row r="6" spans="1:37" s="1" customFormat="1" ht="8.1" customHeight="1" x14ac:dyDescent="0.15">
      <c r="A6" s="14"/>
      <c r="B6" s="14"/>
      <c r="D6" s="23">
        <v>47</v>
      </c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2"/>
    </row>
    <row r="7" spans="1:37" s="1" customFormat="1" ht="8.1" customHeight="1" x14ac:dyDescent="0.15">
      <c r="A7" s="14"/>
      <c r="B7" s="14"/>
      <c r="D7" s="23">
        <v>46</v>
      </c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2"/>
    </row>
    <row r="8" spans="1:37" s="1" customFormat="1" ht="8.1" customHeight="1" x14ac:dyDescent="0.15">
      <c r="A8" s="14"/>
      <c r="B8" s="14"/>
      <c r="D8" s="23">
        <v>45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2"/>
    </row>
    <row r="9" spans="1:37" s="1" customFormat="1" ht="8.1" customHeight="1" x14ac:dyDescent="0.15">
      <c r="A9" s="14"/>
      <c r="B9" s="14"/>
      <c r="D9" s="23">
        <v>44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2"/>
    </row>
    <row r="10" spans="1:37" s="1" customFormat="1" ht="8.1" customHeight="1" x14ac:dyDescent="0.15">
      <c r="A10" s="14"/>
      <c r="B10" s="14"/>
      <c r="D10" s="23">
        <v>43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2"/>
    </row>
    <row r="11" spans="1:37" s="1" customFormat="1" ht="8.1" customHeight="1" x14ac:dyDescent="0.15">
      <c r="A11" s="14"/>
      <c r="B11" s="14"/>
      <c r="D11" s="23">
        <v>42</v>
      </c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2"/>
    </row>
    <row r="12" spans="1:37" s="1" customFormat="1" ht="8.1" customHeight="1" x14ac:dyDescent="0.15">
      <c r="A12" s="14"/>
      <c r="B12" s="14"/>
      <c r="D12" s="23">
        <v>41</v>
      </c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2"/>
    </row>
    <row r="13" spans="1:37" s="1" customFormat="1" ht="8.1" customHeight="1" x14ac:dyDescent="0.15">
      <c r="A13" s="14"/>
      <c r="B13" s="14"/>
      <c r="D13" s="23">
        <v>40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2"/>
    </row>
    <row r="14" spans="1:37" s="1" customFormat="1" ht="8.1" customHeight="1" x14ac:dyDescent="0.15">
      <c r="A14" s="14"/>
      <c r="B14" s="14"/>
      <c r="D14" s="23">
        <v>39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2"/>
    </row>
    <row r="15" spans="1:37" s="1" customFormat="1" ht="8.1" customHeight="1" x14ac:dyDescent="0.15">
      <c r="A15" s="14"/>
      <c r="B15" s="14"/>
      <c r="D15" s="23">
        <v>38</v>
      </c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2"/>
    </row>
    <row r="16" spans="1:37" s="1" customFormat="1" ht="8.1" customHeight="1" x14ac:dyDescent="0.15">
      <c r="A16" s="14"/>
      <c r="B16" s="14"/>
      <c r="D16" s="23">
        <v>37</v>
      </c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2"/>
    </row>
    <row r="17" spans="1:37" s="1" customFormat="1" ht="8.1" customHeight="1" x14ac:dyDescent="0.15">
      <c r="A17" s="14"/>
      <c r="B17" s="14"/>
      <c r="D17" s="23">
        <v>36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2"/>
    </row>
    <row r="18" spans="1:37" s="1" customFormat="1" ht="8.1" customHeight="1" x14ac:dyDescent="0.15">
      <c r="A18" s="14"/>
      <c r="B18" s="14"/>
      <c r="D18" s="23">
        <v>35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2"/>
    </row>
    <row r="19" spans="1:37" s="1" customFormat="1" ht="8.1" customHeight="1" x14ac:dyDescent="0.15">
      <c r="A19" s="14"/>
      <c r="B19" s="14"/>
      <c r="D19" s="23">
        <v>34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2"/>
    </row>
    <row r="20" spans="1:37" s="1" customFormat="1" ht="8.1" customHeight="1" x14ac:dyDescent="0.15">
      <c r="A20" s="14"/>
      <c r="B20" s="14"/>
      <c r="D20" s="23">
        <v>33</v>
      </c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2"/>
    </row>
    <row r="21" spans="1:37" s="1" customFormat="1" ht="8.1" customHeight="1" x14ac:dyDescent="0.15">
      <c r="A21" s="14"/>
      <c r="B21" s="14"/>
      <c r="D21" s="23">
        <v>32</v>
      </c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2"/>
    </row>
    <row r="22" spans="1:37" s="1" customFormat="1" ht="8.1" customHeight="1" x14ac:dyDescent="0.15">
      <c r="A22" s="14"/>
      <c r="B22" s="14"/>
      <c r="D22" s="23">
        <v>31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2"/>
    </row>
    <row r="23" spans="1:37" s="1" customFormat="1" ht="8.1" customHeight="1" x14ac:dyDescent="0.15">
      <c r="A23" s="14"/>
      <c r="B23" s="14"/>
      <c r="D23" s="23">
        <v>30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2"/>
    </row>
    <row r="24" spans="1:37" s="1" customFormat="1" ht="8.1" customHeight="1" x14ac:dyDescent="0.15">
      <c r="A24" s="14"/>
      <c r="B24" s="14"/>
      <c r="D24" s="23">
        <v>29</v>
      </c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2"/>
    </row>
    <row r="25" spans="1:37" s="1" customFormat="1" ht="8.1" customHeight="1" x14ac:dyDescent="0.15">
      <c r="A25" s="14"/>
      <c r="B25" s="14"/>
      <c r="D25" s="23">
        <v>28</v>
      </c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2"/>
    </row>
    <row r="26" spans="1:37" s="1" customFormat="1" ht="8.1" customHeight="1" x14ac:dyDescent="0.15">
      <c r="A26" s="14"/>
      <c r="B26" s="14"/>
      <c r="D26" s="23">
        <v>27</v>
      </c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2"/>
    </row>
    <row r="27" spans="1:37" s="1" customFormat="1" ht="8.1" customHeight="1" x14ac:dyDescent="0.15">
      <c r="A27" s="14"/>
      <c r="B27" s="14"/>
      <c r="D27" s="23">
        <v>26</v>
      </c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2"/>
    </row>
    <row r="28" spans="1:37" s="1" customFormat="1" ht="8.1" customHeight="1" x14ac:dyDescent="0.15">
      <c r="A28" s="14"/>
      <c r="B28" s="14"/>
      <c r="D28" s="23">
        <v>25</v>
      </c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2"/>
    </row>
    <row r="29" spans="1:37" s="1" customFormat="1" ht="8.1" customHeight="1" x14ac:dyDescent="0.15">
      <c r="A29" s="14"/>
      <c r="B29" s="14"/>
      <c r="D29" s="23">
        <v>24</v>
      </c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2"/>
    </row>
    <row r="30" spans="1:37" s="1" customFormat="1" ht="8.1" customHeight="1" x14ac:dyDescent="0.15">
      <c r="A30" s="14"/>
      <c r="B30" s="14"/>
      <c r="D30" s="23">
        <v>23</v>
      </c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2"/>
    </row>
    <row r="31" spans="1:37" s="1" customFormat="1" ht="8.1" customHeight="1" x14ac:dyDescent="0.15">
      <c r="A31" s="14"/>
      <c r="B31" s="14"/>
      <c r="D31" s="23">
        <v>22</v>
      </c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2"/>
    </row>
    <row r="32" spans="1:37" s="1" customFormat="1" ht="8.1" customHeight="1" x14ac:dyDescent="0.15">
      <c r="A32" s="14"/>
      <c r="B32" s="14"/>
      <c r="D32" s="23">
        <v>21</v>
      </c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2"/>
    </row>
    <row r="33" spans="1:37" s="1" customFormat="1" ht="8.1" customHeight="1" x14ac:dyDescent="0.15">
      <c r="A33" s="14"/>
      <c r="B33" s="14"/>
      <c r="D33" s="23">
        <v>20</v>
      </c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2"/>
    </row>
    <row r="34" spans="1:37" s="1" customFormat="1" ht="8.1" customHeight="1" x14ac:dyDescent="0.15">
      <c r="A34" s="14"/>
      <c r="B34" s="14"/>
      <c r="D34" s="23">
        <v>19</v>
      </c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2"/>
    </row>
    <row r="35" spans="1:37" s="1" customFormat="1" ht="8.1" customHeight="1" x14ac:dyDescent="0.15">
      <c r="A35" s="14"/>
      <c r="B35" s="14"/>
      <c r="D35" s="23">
        <v>18</v>
      </c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2"/>
    </row>
    <row r="36" spans="1:37" s="1" customFormat="1" ht="8.1" customHeight="1" x14ac:dyDescent="0.15">
      <c r="A36" s="14"/>
      <c r="B36" s="14"/>
      <c r="D36" s="23">
        <v>17</v>
      </c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2"/>
    </row>
    <row r="37" spans="1:37" s="1" customFormat="1" ht="8.1" customHeight="1" x14ac:dyDescent="0.15">
      <c r="A37" s="14"/>
      <c r="B37" s="14"/>
      <c r="D37" s="23">
        <v>16</v>
      </c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2"/>
    </row>
    <row r="38" spans="1:37" s="1" customFormat="1" ht="8.1" customHeight="1" x14ac:dyDescent="0.15">
      <c r="A38" s="14"/>
      <c r="B38" s="14"/>
      <c r="D38" s="23">
        <v>15</v>
      </c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2"/>
    </row>
    <row r="39" spans="1:37" s="1" customFormat="1" ht="8.1" customHeight="1" x14ac:dyDescent="0.15">
      <c r="A39" s="14"/>
      <c r="B39" s="14"/>
      <c r="D39" s="23">
        <v>14</v>
      </c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2"/>
    </row>
    <row r="40" spans="1:37" s="1" customFormat="1" ht="8.1" customHeight="1" x14ac:dyDescent="0.15">
      <c r="A40" s="14"/>
      <c r="B40" s="14"/>
      <c r="D40" s="23">
        <v>13</v>
      </c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2"/>
    </row>
    <row r="41" spans="1:37" s="1" customFormat="1" ht="8.1" customHeight="1" x14ac:dyDescent="0.15">
      <c r="A41" s="14"/>
      <c r="B41" s="14"/>
      <c r="D41" s="23">
        <v>12</v>
      </c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2"/>
    </row>
    <row r="42" spans="1:37" s="1" customFormat="1" ht="8.1" customHeight="1" x14ac:dyDescent="0.15">
      <c r="A42" s="14"/>
      <c r="B42" s="14"/>
      <c r="D42" s="23">
        <v>11</v>
      </c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2"/>
    </row>
    <row r="43" spans="1:37" s="1" customFormat="1" ht="8.1" customHeight="1" x14ac:dyDescent="0.15">
      <c r="A43" s="14"/>
      <c r="B43" s="14"/>
      <c r="D43" s="23">
        <v>10</v>
      </c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2"/>
    </row>
    <row r="44" spans="1:37" s="1" customFormat="1" ht="8.1" customHeight="1" x14ac:dyDescent="0.15">
      <c r="A44" s="14"/>
      <c r="B44" s="14"/>
      <c r="D44" s="23">
        <v>9</v>
      </c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2"/>
    </row>
    <row r="45" spans="1:37" s="1" customFormat="1" ht="8.1" customHeight="1" x14ac:dyDescent="0.15">
      <c r="A45" s="14"/>
      <c r="B45" s="14"/>
      <c r="D45" s="23">
        <v>8</v>
      </c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2"/>
    </row>
    <row r="46" spans="1:37" s="1" customFormat="1" ht="8.1" customHeight="1" x14ac:dyDescent="0.15">
      <c r="A46" s="14"/>
      <c r="B46" s="14"/>
      <c r="D46" s="23">
        <v>7</v>
      </c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2"/>
    </row>
    <row r="47" spans="1:37" s="1" customFormat="1" ht="8.1" customHeight="1" x14ac:dyDescent="0.15">
      <c r="A47" s="14"/>
      <c r="B47" s="14"/>
      <c r="D47" s="23">
        <v>6</v>
      </c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2"/>
    </row>
    <row r="48" spans="1:37" s="1" customFormat="1" ht="8.1" customHeight="1" x14ac:dyDescent="0.15">
      <c r="A48" s="14"/>
      <c r="B48" s="14"/>
      <c r="D48" s="23">
        <v>5</v>
      </c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2"/>
    </row>
    <row r="49" spans="1:37" s="1" customFormat="1" ht="8.1" customHeight="1" x14ac:dyDescent="0.15">
      <c r="A49" s="14"/>
      <c r="B49" s="14"/>
      <c r="D49" s="23">
        <v>4</v>
      </c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2"/>
    </row>
    <row r="50" spans="1:37" s="1" customFormat="1" ht="8.1" customHeight="1" x14ac:dyDescent="0.15">
      <c r="A50" s="14"/>
      <c r="B50" s="14"/>
      <c r="D50" s="23">
        <v>3</v>
      </c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2"/>
    </row>
    <row r="51" spans="1:37" s="1" customFormat="1" ht="8.1" customHeight="1" x14ac:dyDescent="0.15">
      <c r="A51" s="14"/>
      <c r="B51" s="14"/>
      <c r="D51" s="23">
        <v>2</v>
      </c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2"/>
    </row>
    <row r="52" spans="1:37" s="1" customFormat="1" ht="8.1" customHeight="1" x14ac:dyDescent="0.15">
      <c r="A52" s="14"/>
      <c r="B52" s="14"/>
      <c r="D52" s="23">
        <v>1</v>
      </c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2"/>
    </row>
    <row r="53" spans="1:37" s="3" customFormat="1" ht="21.95" customHeight="1" x14ac:dyDescent="0.15">
      <c r="A53" s="15"/>
      <c r="C53" s="15"/>
      <c r="D53" s="15">
        <v>0</v>
      </c>
      <c r="E53" s="4">
        <f ca="1" xml:space="preserve">  IF( $A1,
      RANDBETWEEN(1,50),
      IF( AND( E54 = $D54, NOT($D55) ),#REF!,
         IF( AND(
 E54 + 1 = $D54, NOT($D55) ),
            F53,
            E53
         )
      )
   )</f>
        <v>41</v>
      </c>
      <c r="F53" s="4">
        <f t="shared" ref="F53:AJ53" ca="1" si="0" xml:space="preserve">  IF( $A1,
      RANDBETWEEN(1,50),
      IF( AND( F54 = $D54, NOT($D55) ),
         E55,
         IF( AND( F54 + 1 = $D54, NOT($D55) ),
            G53,
            F53
         )
      )
   )</f>
        <v>19</v>
      </c>
      <c r="G53" s="4">
        <f t="shared" ca="1" si="0"/>
        <v>27</v>
      </c>
      <c r="H53" s="4">
        <f t="shared" ca="1" si="0"/>
        <v>48</v>
      </c>
      <c r="I53" s="4">
        <f t="shared" ca="1" si="0"/>
        <v>50</v>
      </c>
      <c r="J53" s="4">
        <f t="shared" ca="1" si="0"/>
        <v>45</v>
      </c>
      <c r="K53" s="4">
        <f t="shared" ca="1" si="0"/>
        <v>23</v>
      </c>
      <c r="L53" s="4">
        <f t="shared" ca="1" si="0"/>
        <v>32</v>
      </c>
      <c r="M53" s="4">
        <f t="shared" ca="1" si="0"/>
        <v>39</v>
      </c>
      <c r="N53" s="4">
        <f t="shared" ca="1" si="0"/>
        <v>11</v>
      </c>
      <c r="O53" s="4">
        <f t="shared" ca="1" si="0"/>
        <v>38</v>
      </c>
      <c r="P53" s="4">
        <f t="shared" ca="1" si="0"/>
        <v>30</v>
      </c>
      <c r="Q53" s="4">
        <f t="shared" ca="1" si="0"/>
        <v>5</v>
      </c>
      <c r="R53" s="4">
        <f t="shared" ca="1" si="0"/>
        <v>40</v>
      </c>
      <c r="S53" s="4">
        <f t="shared" ca="1" si="0"/>
        <v>38</v>
      </c>
      <c r="T53" s="4">
        <f t="shared" ca="1" si="0"/>
        <v>6</v>
      </c>
      <c r="U53" s="4">
        <f t="shared" ca="1" si="0"/>
        <v>41</v>
      </c>
      <c r="V53" s="4">
        <f t="shared" ca="1" si="0"/>
        <v>42</v>
      </c>
      <c r="W53" s="4">
        <f t="shared" ca="1" si="0"/>
        <v>50</v>
      </c>
      <c r="X53" s="4">
        <f t="shared" ca="1" si="0"/>
        <v>19</v>
      </c>
      <c r="Y53" s="4">
        <f t="shared" ca="1" si="0"/>
        <v>48</v>
      </c>
      <c r="Z53" s="4">
        <f t="shared" ca="1" si="0"/>
        <v>47</v>
      </c>
      <c r="AA53" s="4">
        <f t="shared" ca="1" si="0"/>
        <v>37</v>
      </c>
      <c r="AB53" s="4">
        <f t="shared" ca="1" si="0"/>
        <v>39</v>
      </c>
      <c r="AC53" s="4">
        <f t="shared" ca="1" si="0"/>
        <v>45</v>
      </c>
      <c r="AD53" s="4">
        <f t="shared" ca="1" si="0"/>
        <v>28</v>
      </c>
      <c r="AE53" s="4">
        <f t="shared" ca="1" si="0"/>
        <v>38</v>
      </c>
      <c r="AF53" s="4">
        <f t="shared" ca="1" si="0"/>
        <v>25</v>
      </c>
      <c r="AG53" s="4">
        <f t="shared" ca="1" si="0"/>
        <v>40</v>
      </c>
      <c r="AH53" s="4">
        <f t="shared" ca="1" si="0"/>
        <v>29</v>
      </c>
      <c r="AI53" s="4">
        <f t="shared" ca="1" si="0"/>
        <v>43</v>
      </c>
      <c r="AJ53" s="4">
        <f t="shared" ca="1" si="0"/>
        <v>50</v>
      </c>
      <c r="AK53" s="19">
        <v>100</v>
      </c>
    </row>
    <row r="54" spans="1:37" s="6" customFormat="1" ht="21.95" customHeight="1" x14ac:dyDescent="0.15">
      <c r="D54" s="15">
        <f xml:space="preserve">  IF( A1,
      0,
      IF( 31 &lt; D54,
         D54,
         IF( $D55,
            AK54 + 1,
            D54 - 1
         )
      )
   )</f>
        <v>0</v>
      </c>
      <c r="E54" s="7">
        <v>0</v>
      </c>
      <c r="F54" s="7">
        <v>1</v>
      </c>
      <c r="G54" s="7">
        <v>2</v>
      </c>
      <c r="H54" s="7">
        <v>3</v>
      </c>
      <c r="I54" s="7">
        <v>4</v>
      </c>
      <c r="J54" s="7">
        <v>5</v>
      </c>
      <c r="K54" s="7">
        <v>6</v>
      </c>
      <c r="L54" s="7">
        <v>7</v>
      </c>
      <c r="M54" s="7">
        <v>8</v>
      </c>
      <c r="N54" s="7">
        <v>9</v>
      </c>
      <c r="O54" s="7">
        <v>10</v>
      </c>
      <c r="P54" s="7">
        <v>11</v>
      </c>
      <c r="Q54" s="7">
        <v>12</v>
      </c>
      <c r="R54" s="7">
        <v>13</v>
      </c>
      <c r="S54" s="7">
        <v>14</v>
      </c>
      <c r="T54" s="7">
        <v>15</v>
      </c>
      <c r="U54" s="7">
        <v>16</v>
      </c>
      <c r="V54" s="7">
        <v>17</v>
      </c>
      <c r="W54" s="7">
        <v>18</v>
      </c>
      <c r="X54" s="7">
        <v>19</v>
      </c>
      <c r="Y54" s="7">
        <v>20</v>
      </c>
      <c r="Z54" s="7">
        <v>21</v>
      </c>
      <c r="AA54" s="7">
        <v>22</v>
      </c>
      <c r="AB54" s="7">
        <v>23</v>
      </c>
      <c r="AC54" s="7">
        <v>24</v>
      </c>
      <c r="AD54" s="7">
        <v>25</v>
      </c>
      <c r="AE54" s="7">
        <v>26</v>
      </c>
      <c r="AF54" s="7">
        <v>27</v>
      </c>
      <c r="AG54" s="7">
        <v>28</v>
      </c>
      <c r="AH54" s="7">
        <v>29</v>
      </c>
      <c r="AI54" s="7">
        <v>30</v>
      </c>
      <c r="AJ54" s="7">
        <v>31</v>
      </c>
      <c r="AK54" s="20">
        <f>IF( A1, D54, MAX(AK54,D54) )</f>
        <v>0</v>
      </c>
    </row>
    <row r="55" spans="1:37" s="6" customFormat="1" ht="21.95" hidden="1" customHeight="1" x14ac:dyDescent="0.15">
      <c r="C55" s="15"/>
      <c r="D55" s="15" t="b">
        <f ca="1" xml:space="preserve"> INDIRECT( ADDRESS( 53, D54 + E1 - 1 ) ) &lt;= INDIRECT( ADDRESS( 53, D54 + E1 ) )</f>
        <v>1</v>
      </c>
      <c r="E55" s="7">
        <f ca="1">E53</f>
        <v>41</v>
      </c>
      <c r="F55" s="7">
        <f t="shared" ref="F55:AJ55" ca="1" si="1">F53</f>
        <v>19</v>
      </c>
      <c r="G55" s="7">
        <f t="shared" ca="1" si="1"/>
        <v>27</v>
      </c>
      <c r="H55" s="7">
        <f t="shared" ca="1" si="1"/>
        <v>48</v>
      </c>
      <c r="I55" s="7">
        <f t="shared" ca="1" si="1"/>
        <v>50</v>
      </c>
      <c r="J55" s="7">
        <f t="shared" ca="1" si="1"/>
        <v>45</v>
      </c>
      <c r="K55" s="7">
        <f t="shared" ca="1" si="1"/>
        <v>23</v>
      </c>
      <c r="L55" s="7">
        <f t="shared" ca="1" si="1"/>
        <v>32</v>
      </c>
      <c r="M55" s="7">
        <f t="shared" ca="1" si="1"/>
        <v>39</v>
      </c>
      <c r="N55" s="7">
        <f t="shared" ca="1" si="1"/>
        <v>11</v>
      </c>
      <c r="O55" s="7">
        <f t="shared" ca="1" si="1"/>
        <v>38</v>
      </c>
      <c r="P55" s="7">
        <f t="shared" ca="1" si="1"/>
        <v>30</v>
      </c>
      <c r="Q55" s="7">
        <f t="shared" ca="1" si="1"/>
        <v>5</v>
      </c>
      <c r="R55" s="7">
        <f t="shared" ca="1" si="1"/>
        <v>40</v>
      </c>
      <c r="S55" s="7">
        <f t="shared" ca="1" si="1"/>
        <v>38</v>
      </c>
      <c r="T55" s="7">
        <f t="shared" ca="1" si="1"/>
        <v>6</v>
      </c>
      <c r="U55" s="7">
        <f t="shared" ca="1" si="1"/>
        <v>41</v>
      </c>
      <c r="V55" s="7">
        <f t="shared" ca="1" si="1"/>
        <v>42</v>
      </c>
      <c r="W55" s="7">
        <f t="shared" ca="1" si="1"/>
        <v>50</v>
      </c>
      <c r="X55" s="7">
        <f t="shared" ca="1" si="1"/>
        <v>19</v>
      </c>
      <c r="Y55" s="7">
        <f t="shared" ca="1" si="1"/>
        <v>48</v>
      </c>
      <c r="Z55" s="7">
        <f t="shared" ca="1" si="1"/>
        <v>47</v>
      </c>
      <c r="AA55" s="7">
        <f t="shared" ca="1" si="1"/>
        <v>37</v>
      </c>
      <c r="AB55" s="7">
        <f t="shared" ca="1" si="1"/>
        <v>39</v>
      </c>
      <c r="AC55" s="7">
        <f t="shared" ca="1" si="1"/>
        <v>45</v>
      </c>
      <c r="AD55" s="7">
        <f t="shared" ca="1" si="1"/>
        <v>28</v>
      </c>
      <c r="AE55" s="7">
        <f t="shared" ca="1" si="1"/>
        <v>38</v>
      </c>
      <c r="AF55" s="7">
        <f t="shared" ca="1" si="1"/>
        <v>25</v>
      </c>
      <c r="AG55" s="7">
        <f t="shared" ca="1" si="1"/>
        <v>40</v>
      </c>
      <c r="AH55" s="7">
        <f t="shared" ca="1" si="1"/>
        <v>29</v>
      </c>
      <c r="AI55" s="7">
        <f t="shared" ca="1" si="1"/>
        <v>43</v>
      </c>
      <c r="AJ55" s="7">
        <f t="shared" ca="1" si="1"/>
        <v>50</v>
      </c>
      <c r="AK55" s="15"/>
    </row>
    <row r="56" spans="1:37" s="6" customFormat="1" ht="21.95" customHeight="1" x14ac:dyDescent="0.15">
      <c r="C56" s="15"/>
      <c r="D56" s="15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15"/>
    </row>
    <row r="57" spans="1:37" s="8" customFormat="1" ht="48" customHeight="1" x14ac:dyDescent="0.15">
      <c r="A57" s="16"/>
      <c r="B57" s="16"/>
      <c r="C57" s="16"/>
      <c r="D57" s="16"/>
      <c r="E57" s="25" t="str">
        <f ca="1" xml:space="preserve">  IF( $A$1,
      "Press F9 to get a random sequence before unchecking Reset/Run to run.",
      IF( 31 &lt; D54,
         "Sorting done! Check Reset/Run to play again.",
         IF( D55,
            IF( 30 &lt; AK54,
               "An ordered pair S[" &amp; D54 - 1 &amp; "] = " &amp; INDIRECT( ADDRESS( 53, D54 + $E1 - 1 ) ) &amp; " &lt;= " &amp; INDIRECT( ADDRESS( 53, D54 + $E1 ) ) &amp; " = S[" &amp; D54 &amp; "] found and no more inversions left.",
               IF( 0 &lt; D54,
                  "An ordered pair S[" &amp; D54 - 1 &amp; "] = " &amp; INDIRECT( ADDRESS( 53, D54 + $E1 - 1 ) ) &amp; " &lt;= " &amp; INDIRECT( ADDRESS( 53, D54 + $E1 ) ) &amp; " = S[" &amp; D54 &amp; "] found and ready to jump to S[" &amp; 1 + $AK54 &amp; "] = " &amp; INDIRECT(ADDRESS(53, $E$1 +1 + $AK54)) &amp; ".",
                  "S[0] = " &amp; INDIRECT( ADDRESS( 53, E1 ) ) &amp; " reached and ready to jump to S[" &amp; 1 + $AK54 &amp; "] = " &amp; INDIRECT(ADDRESS(53, $E$1 + 1 + $AK54)) &amp; "."
               )
            ),
            "An inversion S[" &amp; D54 - 1 &amp; "] = " &amp; INDIRECT( ADDRESS( 53, D54 + $E1 - 1 ) ) &amp; " &lt;= " &amp; INDIRECT( ADDRESS( 53, D54 + $E1 ) ) &amp; " = S[" &amp; D54 &amp; "] found and ready to exchange."
         )
      )
   )</f>
        <v>Press F9 to get a random sequence before unchecking Reset/Run to run.</v>
      </c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1"/>
    </row>
    <row r="58" spans="1:37" s="2" customFormat="1" ht="36" customHeight="1" x14ac:dyDescent="0.15">
      <c r="B58" s="13"/>
      <c r="C58" s="13"/>
      <c r="D58" s="13">
        <f t="array" aca="1" ref="D58" ca="1" xml:space="preserve"> SUM(1*(E53:AJ53*ROW(1:32)/ROW(1:32)&lt;COLUMN(A:AF)/COLUMN(A:AF)*TRANSPOSE(E53:AJ53))*(COLUMN(A:AF)&gt;ROW(1:32)))</f>
        <v>218</v>
      </c>
      <c r="E58" s="26" t="str">
        <f ca="1" xml:space="preserve"> "CRC = " &amp; SUMPRODUCT(E53:AJ53,E53:AJ53)</f>
        <v>CRC = 43621</v>
      </c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 t="str">
        <f ca="1" xml:space="preserve"> "#inversion = " &amp; D58</f>
        <v>#inversion = 218</v>
      </c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12"/>
    </row>
    <row r="59" spans="1:37" s="6" customFormat="1" ht="21.95" customHeight="1" x14ac:dyDescent="0.15">
      <c r="C59" s="15"/>
      <c r="D59" s="15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15"/>
    </row>
    <row r="60" spans="1:37" s="9" customFormat="1" ht="21.95" customHeight="1" x14ac:dyDescent="0.15">
      <c r="A60" s="17"/>
      <c r="B60" s="17"/>
      <c r="C60" s="17"/>
      <c r="D60" s="17"/>
      <c r="E60" s="27" t="s">
        <v>0</v>
      </c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</row>
    <row r="61" spans="1:37" s="9" customFormat="1" ht="21.95" customHeight="1" x14ac:dyDescent="0.15">
      <c r="A61" s="17"/>
      <c r="B61" s="17"/>
      <c r="C61" s="17"/>
      <c r="D61" s="17"/>
      <c r="E61" s="27" t="s">
        <v>1</v>
      </c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</row>
  </sheetData>
  <sheetProtection password="A85F" sheet="1" objects="1" scenarios="1" selectLockedCells="1"/>
  <mergeCells count="5">
    <mergeCell ref="E57:AJ57"/>
    <mergeCell ref="E58:T58"/>
    <mergeCell ref="U58:AJ58"/>
    <mergeCell ref="E60:AK60"/>
    <mergeCell ref="E61:AK61"/>
  </mergeCells>
  <phoneticPr fontId="2" type="noConversion"/>
  <conditionalFormatting sqref="E3:AJ52">
    <cfRule type="expression" dxfId="4" priority="86" stopIfTrue="1">
      <formula xml:space="preserve"> AND( NOT($A$1), NOT($D$55), OR(E$54 = $D$54 - 1, E$54 = $D$54), $D3 &lt;= E$53 )</formula>
    </cfRule>
    <cfRule type="expression" dxfId="3" priority="87" stopIfTrue="1">
      <formula xml:space="preserve"> AND( NOT($A$1), $AK$54 &lt; 32, $D$55, OR(E$54 = $D$54 - 1, E$54 = $D$54), $D3 &lt;= E$53 )</formula>
    </cfRule>
    <cfRule type="expression" dxfId="2" priority="89" stopIfTrue="1">
      <formula xml:space="preserve"> AND( NOT($A$1), E$54 &lt;= $AK$54, $D3 &lt;= E$53 )</formula>
    </cfRule>
    <cfRule type="expression" dxfId="1" priority="90" stopIfTrue="1">
      <formula xml:space="preserve"> AND( $C$53 &lt; E$1, $D3 &lt;= E$53 )</formula>
    </cfRule>
    <cfRule type="expression" dxfId="0" priority="91">
      <formula>AND( NOT($A$1), $D$54 &lt; 32, OR( $D$54 - 1 = E$54, $D$54 = E$54 ) )</formula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Check Box 2">
              <controlPr locked="0" defaultSize="0" autoFill="0" autoLine="0" autoPict="0" altText="">
                <anchor>
                  <from>
                    <xdr:col>4</xdr:col>
                    <xdr:colOff>190500</xdr:colOff>
                    <xdr:row>56</xdr:row>
                    <xdr:rowOff>95250</xdr:rowOff>
                  </from>
                  <to>
                    <xdr:col>6</xdr:col>
                    <xdr:colOff>276225</xdr:colOff>
                    <xdr:row>56</xdr:row>
                    <xdr:rowOff>523875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Optimized Gnomesort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</dc:creator>
  <cp:lastModifiedBy>X270</cp:lastModifiedBy>
  <dcterms:created xsi:type="dcterms:W3CDTF">2016-12-19T05:44:38Z</dcterms:created>
  <dcterms:modified xsi:type="dcterms:W3CDTF">2018-05-07T06:23:35Z</dcterms:modified>
</cp:coreProperties>
</file>