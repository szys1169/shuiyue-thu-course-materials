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615"/>
  <workbookPr/>
  <mc:AlternateContent xmlns:mc="http://schemas.openxmlformats.org/markup-compatibility/2006">
    <mc:Choice Requires="x15">
      <x15ac:absPath xmlns:x15ac="http://schemas.microsoft.com/office/spreadsheetml/2010/11/ac" url="/Users/cuishibo/Desktop/"/>
    </mc:Choice>
  </mc:AlternateContent>
  <bookViews>
    <workbookView xWindow="7640" yWindow="460" windowWidth="28720" windowHeight="17540" tabRatio="500"/>
  </bookViews>
  <sheets>
    <sheet name="工作表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7" i="1" l="1"/>
  <c r="J8" i="1"/>
  <c r="J9" i="1"/>
  <c r="J10" i="1"/>
  <c r="J11" i="1"/>
  <c r="J12" i="1"/>
  <c r="J13" i="1"/>
  <c r="J14" i="1"/>
  <c r="J15" i="1"/>
  <c r="J16" i="1"/>
  <c r="J17" i="1"/>
  <c r="J6" i="1"/>
  <c r="I18" i="1"/>
  <c r="I7" i="1"/>
  <c r="I8" i="1"/>
  <c r="I9" i="1"/>
  <c r="I10" i="1"/>
  <c r="I11" i="1"/>
  <c r="I12" i="1"/>
  <c r="I13" i="1"/>
  <c r="I14" i="1"/>
  <c r="I15" i="1"/>
  <c r="I16" i="1"/>
  <c r="I17" i="1"/>
  <c r="I6" i="1"/>
  <c r="K17" i="1"/>
  <c r="K7" i="1"/>
  <c r="K8" i="1"/>
  <c r="K9" i="1"/>
  <c r="K10" i="1"/>
  <c r="K11" i="1"/>
  <c r="K12" i="1"/>
  <c r="K13" i="1"/>
  <c r="K14" i="1"/>
  <c r="K15" i="1"/>
  <c r="K16" i="1"/>
  <c r="K6" i="1"/>
  <c r="E6" i="1"/>
  <c r="D6" i="1"/>
  <c r="C6" i="1"/>
  <c r="F6" i="1"/>
  <c r="D7" i="1"/>
  <c r="C7" i="1"/>
  <c r="F7" i="1"/>
  <c r="D8" i="1"/>
  <c r="C8" i="1"/>
  <c r="F8" i="1"/>
  <c r="D9" i="1"/>
  <c r="C9" i="1"/>
  <c r="F9" i="1"/>
  <c r="D10" i="1"/>
  <c r="C10" i="1"/>
  <c r="F10" i="1"/>
  <c r="D11" i="1"/>
  <c r="C11" i="1"/>
  <c r="F11" i="1"/>
  <c r="D12" i="1"/>
  <c r="C12" i="1"/>
  <c r="F12" i="1"/>
  <c r="D13" i="1"/>
  <c r="C13" i="1"/>
  <c r="F13" i="1"/>
  <c r="D14" i="1"/>
  <c r="C14" i="1"/>
  <c r="F14" i="1"/>
  <c r="D15" i="1"/>
  <c r="C15" i="1"/>
  <c r="F15" i="1"/>
  <c r="D16" i="1"/>
  <c r="D18" i="1"/>
  <c r="D17" i="1"/>
  <c r="E17" i="1"/>
  <c r="E16" i="1"/>
  <c r="C16" i="1"/>
  <c r="F16" i="1"/>
  <c r="E8" i="1"/>
  <c r="E9" i="1"/>
  <c r="E10" i="1"/>
  <c r="E11" i="1"/>
  <c r="E12" i="1"/>
  <c r="E13" i="1"/>
  <c r="E14" i="1"/>
  <c r="E15" i="1"/>
  <c r="E7" i="1"/>
</calcChain>
</file>

<file path=xl/sharedStrings.xml><?xml version="1.0" encoding="utf-8"?>
<sst xmlns="http://schemas.openxmlformats.org/spreadsheetml/2006/main" count="14" uniqueCount="10">
  <si>
    <t>年利率</t>
    <rPh sb="0" eb="1">
      <t>nian</t>
    </rPh>
    <rPh sb="1" eb="2">
      <t>li lü</t>
    </rPh>
    <phoneticPr fontId="1" type="noConversion"/>
  </si>
  <si>
    <t>贷款金额</t>
    <rPh sb="0" eb="1">
      <t>dai kuan</t>
    </rPh>
    <rPh sb="2" eb="3">
      <t>jin e</t>
    </rPh>
    <phoneticPr fontId="1" type="noConversion"/>
  </si>
  <si>
    <t>贷款期限（月）</t>
    <rPh sb="0" eb="1">
      <t>dai kuan</t>
    </rPh>
    <rPh sb="2" eb="3">
      <t>qi xian</t>
    </rPh>
    <rPh sb="5" eb="6">
      <t>yue</t>
    </rPh>
    <phoneticPr fontId="1" type="noConversion"/>
  </si>
  <si>
    <t>还款日期</t>
    <rPh sb="0" eb="1">
      <t>huan kuan</t>
    </rPh>
    <rPh sb="2" eb="3">
      <t>ri qi</t>
    </rPh>
    <phoneticPr fontId="1" type="noConversion"/>
  </si>
  <si>
    <t>还款金额</t>
    <rPh sb="0" eb="1">
      <t>huan kuan</t>
    </rPh>
    <rPh sb="2" eb="3">
      <t>jin e</t>
    </rPh>
    <phoneticPr fontId="1" type="noConversion"/>
  </si>
  <si>
    <t>剩余本金</t>
    <rPh sb="0" eb="1">
      <t>sheng yu</t>
    </rPh>
    <rPh sb="2" eb="3">
      <t>ben jin</t>
    </rPh>
    <phoneticPr fontId="1" type="noConversion"/>
  </si>
  <si>
    <t>应还本金</t>
    <rPh sb="2" eb="3">
      <t>ben jin</t>
    </rPh>
    <phoneticPr fontId="1" type="noConversion"/>
  </si>
  <si>
    <t>应还利息</t>
    <rPh sb="0" eb="1">
      <t>ying</t>
    </rPh>
    <rPh sb="1" eb="2">
      <t>huan</t>
    </rPh>
    <rPh sb="2" eb="3">
      <t>li xi</t>
    </rPh>
    <phoneticPr fontId="1" type="noConversion"/>
  </si>
  <si>
    <t>等额本息</t>
    <rPh sb="0" eb="1">
      <t>deng e</t>
    </rPh>
    <rPh sb="2" eb="3">
      <t>ben xi</t>
    </rPh>
    <phoneticPr fontId="1" type="noConversion"/>
  </si>
  <si>
    <t>等额本金</t>
    <rPh sb="0" eb="1">
      <t>deng e</t>
    </rPh>
    <rPh sb="2" eb="3">
      <t>ben jin</t>
    </rPh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</si>
</sst>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¥&quot;#,##0.00_);[Red]\(&quot;¥&quot;#,##0.00\)"/>
  </numFmts>
  <fonts count="2" x14ac:knownFonts="1">
    <font>
      <sz val="12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8" fontId="0" fillId="0" borderId="0" xfId="0" applyNumberFormat="1" applyBorder="1"/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8" fontId="0" fillId="0" borderId="4" xfId="0" applyNumberFormat="1" applyBorder="1"/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8"/>
  <sheetViews>
    <sheetView tabSelected="1" workbookViewId="0">
      <selection activeCell="J22" sqref="J22"/>
    </sheetView>
  </sheetViews>
  <sheetFormatPr baseColWidth="10" defaultRowHeight="16" x14ac:dyDescent="0.2"/>
  <cols>
    <col min="5" max="5" width="16.5" bestFit="1" customWidth="1"/>
  </cols>
  <sheetData>
    <row r="1" spans="2:11" x14ac:dyDescent="0.2">
      <c r="B1" t="s">
        <v>0</v>
      </c>
      <c r="C1" t="s">
        <v>1</v>
      </c>
      <c r="D1" t="s">
        <v>2</v>
      </c>
    </row>
    <row r="2" spans="2:11" ht="17" thickBot="1" x14ac:dyDescent="0.25">
      <c r="B2">
        <v>0.12</v>
      </c>
      <c r="C2">
        <v>120000</v>
      </c>
      <c r="D2">
        <v>12</v>
      </c>
    </row>
    <row r="3" spans="2:11" x14ac:dyDescent="0.2">
      <c r="B3" s="1"/>
      <c r="C3" s="12" t="s">
        <v>8</v>
      </c>
      <c r="D3" s="13"/>
      <c r="E3" s="13"/>
      <c r="F3" s="14"/>
      <c r="H3" s="2" t="s">
        <v>9</v>
      </c>
      <c r="I3" s="3"/>
      <c r="J3" s="3"/>
      <c r="K3" s="4"/>
    </row>
    <row r="4" spans="2:11" x14ac:dyDescent="0.2">
      <c r="B4" t="s">
        <v>3</v>
      </c>
      <c r="C4" s="5" t="s">
        <v>6</v>
      </c>
      <c r="D4" s="6" t="s">
        <v>7</v>
      </c>
      <c r="E4" s="6" t="s">
        <v>4</v>
      </c>
      <c r="F4" s="7" t="s">
        <v>5</v>
      </c>
      <c r="H4" s="5" t="s">
        <v>6</v>
      </c>
      <c r="I4" s="6" t="s">
        <v>7</v>
      </c>
      <c r="J4" s="6" t="s">
        <v>4</v>
      </c>
      <c r="K4" s="7" t="s">
        <v>5</v>
      </c>
    </row>
    <row r="5" spans="2:11" x14ac:dyDescent="0.2">
      <c r="C5" s="5"/>
      <c r="D5" s="6"/>
      <c r="E5" s="6"/>
      <c r="F5" s="7">
        <v>120000</v>
      </c>
      <c r="H5" s="5"/>
      <c r="I5" s="6"/>
      <c r="J5" s="6"/>
      <c r="K5" s="7">
        <v>120000</v>
      </c>
    </row>
    <row r="6" spans="2:11" x14ac:dyDescent="0.2">
      <c r="B6">
        <v>1</v>
      </c>
      <c r="C6" s="15">
        <f>E6-D6</f>
        <v>9461.8546414010016</v>
      </c>
      <c r="D6" s="6">
        <f>F5*0.12/12</f>
        <v>1200</v>
      </c>
      <c r="E6" s="11">
        <f>-PMT(0.12/12,12,120000)</f>
        <v>10661.854641401002</v>
      </c>
      <c r="F6" s="7">
        <f>F5-C6</f>
        <v>110538.14535859899</v>
      </c>
      <c r="H6" s="5">
        <v>10000</v>
      </c>
      <c r="I6" s="6">
        <f>K5*0.01</f>
        <v>1200</v>
      </c>
      <c r="J6" s="6">
        <f>I6+H6</f>
        <v>11200</v>
      </c>
      <c r="K6" s="7">
        <f>K5-H6</f>
        <v>110000</v>
      </c>
    </row>
    <row r="7" spans="2:11" x14ac:dyDescent="0.2">
      <c r="B7">
        <v>2</v>
      </c>
      <c r="C7" s="5">
        <f>E7-D7</f>
        <v>9556.4685464140111</v>
      </c>
      <c r="D7" s="6">
        <f>F6*0.12/12</f>
        <v>1105.3814535859899</v>
      </c>
      <c r="E7" s="11">
        <f>ROUND(-PMT(0.12/12,12,120000),2)</f>
        <v>10661.85</v>
      </c>
      <c r="F7" s="7">
        <f>F6-C7</f>
        <v>100981.67681218499</v>
      </c>
      <c r="H7" s="5">
        <v>10000</v>
      </c>
      <c r="I7" s="6">
        <f t="shared" ref="I7:I17" si="0">K6*0.01</f>
        <v>1100</v>
      </c>
      <c r="J7" s="6">
        <f t="shared" ref="J7:J17" si="1">I7+H7</f>
        <v>11100</v>
      </c>
      <c r="K7" s="7">
        <f t="shared" ref="K7:K17" si="2">K6-H7</f>
        <v>100000</v>
      </c>
    </row>
    <row r="8" spans="2:11" x14ac:dyDescent="0.2">
      <c r="B8">
        <v>3</v>
      </c>
      <c r="C8" s="5">
        <f t="shared" ref="C8:C15" si="3">E8-D8</f>
        <v>9652.0332318781511</v>
      </c>
      <c r="D8" s="6">
        <f t="shared" ref="D8:D15" si="4">F7*0.12/12</f>
        <v>1009.8167681218498</v>
      </c>
      <c r="E8" s="11">
        <f t="shared" ref="E8:E17" si="5">ROUND(-PMT(0.12/12,12,120000),2)</f>
        <v>10661.85</v>
      </c>
      <c r="F8" s="7">
        <f t="shared" ref="F8:F15" si="6">F7-C8</f>
        <v>91329.643580306845</v>
      </c>
      <c r="H8" s="5">
        <v>10000</v>
      </c>
      <c r="I8" s="6">
        <f t="shared" si="0"/>
        <v>1000</v>
      </c>
      <c r="J8" s="6">
        <f t="shared" si="1"/>
        <v>11000</v>
      </c>
      <c r="K8" s="7">
        <f t="shared" si="2"/>
        <v>90000</v>
      </c>
    </row>
    <row r="9" spans="2:11" x14ac:dyDescent="0.2">
      <c r="B9">
        <v>4</v>
      </c>
      <c r="C9" s="5">
        <f t="shared" si="3"/>
        <v>9748.5535641969327</v>
      </c>
      <c r="D9" s="6">
        <f t="shared" si="4"/>
        <v>913.29643580306845</v>
      </c>
      <c r="E9" s="11">
        <f t="shared" si="5"/>
        <v>10661.85</v>
      </c>
      <c r="F9" s="7">
        <f t="shared" si="6"/>
        <v>81581.090016109913</v>
      </c>
      <c r="H9" s="5">
        <v>10000</v>
      </c>
      <c r="I9" s="6">
        <f t="shared" si="0"/>
        <v>900</v>
      </c>
      <c r="J9" s="6">
        <f t="shared" si="1"/>
        <v>10900</v>
      </c>
      <c r="K9" s="7">
        <f t="shared" si="2"/>
        <v>80000</v>
      </c>
    </row>
    <row r="10" spans="2:11" x14ac:dyDescent="0.2">
      <c r="B10">
        <v>5</v>
      </c>
      <c r="C10" s="5">
        <f t="shared" si="3"/>
        <v>9846.0390998389012</v>
      </c>
      <c r="D10" s="6">
        <f t="shared" si="4"/>
        <v>815.81090016109908</v>
      </c>
      <c r="E10" s="11">
        <f t="shared" si="5"/>
        <v>10661.85</v>
      </c>
      <c r="F10" s="7">
        <f t="shared" si="6"/>
        <v>71735.050916271008</v>
      </c>
      <c r="H10" s="5">
        <v>10000</v>
      </c>
      <c r="I10" s="6">
        <f t="shared" si="0"/>
        <v>800</v>
      </c>
      <c r="J10" s="6">
        <f t="shared" si="1"/>
        <v>10800</v>
      </c>
      <c r="K10" s="7">
        <f t="shared" si="2"/>
        <v>70000</v>
      </c>
    </row>
    <row r="11" spans="2:11" x14ac:dyDescent="0.2">
      <c r="B11">
        <v>6</v>
      </c>
      <c r="C11" s="5">
        <f t="shared" si="3"/>
        <v>9944.4994908372901</v>
      </c>
      <c r="D11" s="6">
        <f t="shared" si="4"/>
        <v>717.35050916270995</v>
      </c>
      <c r="E11" s="11">
        <f t="shared" si="5"/>
        <v>10661.85</v>
      </c>
      <c r="F11" s="7">
        <f t="shared" si="6"/>
        <v>61790.551425433718</v>
      </c>
      <c r="H11" s="5">
        <v>10000</v>
      </c>
      <c r="I11" s="6">
        <f t="shared" si="0"/>
        <v>700</v>
      </c>
      <c r="J11" s="6">
        <f t="shared" si="1"/>
        <v>10700</v>
      </c>
      <c r="K11" s="7">
        <f t="shared" si="2"/>
        <v>60000</v>
      </c>
    </row>
    <row r="12" spans="2:11" x14ac:dyDescent="0.2">
      <c r="B12">
        <v>7</v>
      </c>
      <c r="C12" s="5">
        <f t="shared" si="3"/>
        <v>10043.944485745664</v>
      </c>
      <c r="D12" s="6">
        <f t="shared" si="4"/>
        <v>617.90551425433716</v>
      </c>
      <c r="E12" s="11">
        <f t="shared" si="5"/>
        <v>10661.85</v>
      </c>
      <c r="F12" s="7">
        <f t="shared" si="6"/>
        <v>51746.606939688056</v>
      </c>
      <c r="H12" s="5">
        <v>10000</v>
      </c>
      <c r="I12" s="6">
        <f t="shared" si="0"/>
        <v>600</v>
      </c>
      <c r="J12" s="6">
        <f t="shared" si="1"/>
        <v>10600</v>
      </c>
      <c r="K12" s="7">
        <f t="shared" si="2"/>
        <v>50000</v>
      </c>
    </row>
    <row r="13" spans="2:11" x14ac:dyDescent="0.2">
      <c r="B13">
        <v>8</v>
      </c>
      <c r="C13" s="5">
        <f t="shared" si="3"/>
        <v>10144.38393060312</v>
      </c>
      <c r="D13" s="6">
        <f t="shared" si="4"/>
        <v>517.46606939688047</v>
      </c>
      <c r="E13" s="11">
        <f t="shared" si="5"/>
        <v>10661.85</v>
      </c>
      <c r="F13" s="7">
        <f t="shared" si="6"/>
        <v>41602.223009084933</v>
      </c>
      <c r="H13" s="5">
        <v>10000</v>
      </c>
      <c r="I13" s="6">
        <f t="shared" si="0"/>
        <v>500</v>
      </c>
      <c r="J13" s="6">
        <f t="shared" si="1"/>
        <v>10500</v>
      </c>
      <c r="K13" s="7">
        <f t="shared" si="2"/>
        <v>40000</v>
      </c>
    </row>
    <row r="14" spans="2:11" x14ac:dyDescent="0.2">
      <c r="B14">
        <v>9</v>
      </c>
      <c r="C14" s="5">
        <f t="shared" si="3"/>
        <v>10245.82776990915</v>
      </c>
      <c r="D14" s="6">
        <f t="shared" si="4"/>
        <v>416.02223009084929</v>
      </c>
      <c r="E14" s="11">
        <f t="shared" si="5"/>
        <v>10661.85</v>
      </c>
      <c r="F14" s="7">
        <f t="shared" si="6"/>
        <v>31356.395239175785</v>
      </c>
      <c r="H14" s="5">
        <v>10000</v>
      </c>
      <c r="I14" s="6">
        <f t="shared" si="0"/>
        <v>400</v>
      </c>
      <c r="J14" s="6">
        <f t="shared" si="1"/>
        <v>10400</v>
      </c>
      <c r="K14" s="7">
        <f t="shared" si="2"/>
        <v>30000</v>
      </c>
    </row>
    <row r="15" spans="2:11" x14ac:dyDescent="0.2">
      <c r="B15">
        <v>10</v>
      </c>
      <c r="C15" s="5">
        <f t="shared" si="3"/>
        <v>10348.286047608242</v>
      </c>
      <c r="D15" s="6">
        <f t="shared" si="4"/>
        <v>313.56395239175782</v>
      </c>
      <c r="E15" s="11">
        <f t="shared" si="5"/>
        <v>10661.85</v>
      </c>
      <c r="F15" s="7">
        <f>F14-C15</f>
        <v>21008.109191567542</v>
      </c>
      <c r="H15" s="5">
        <v>10000</v>
      </c>
      <c r="I15" s="6">
        <f t="shared" si="0"/>
        <v>300</v>
      </c>
      <c r="J15" s="6">
        <f t="shared" si="1"/>
        <v>10300</v>
      </c>
      <c r="K15" s="7">
        <f t="shared" si="2"/>
        <v>20000</v>
      </c>
    </row>
    <row r="16" spans="2:11" x14ac:dyDescent="0.2">
      <c r="B16">
        <v>11</v>
      </c>
      <c r="C16" s="5">
        <f t="shared" ref="C16" si="7">E16-D16</f>
        <v>10451.768908084325</v>
      </c>
      <c r="D16" s="6">
        <f t="shared" ref="D16" si="8">F15*0.12/12</f>
        <v>210.08109191567542</v>
      </c>
      <c r="E16" s="11">
        <f t="shared" si="5"/>
        <v>10661.85</v>
      </c>
      <c r="F16" s="7">
        <f>F15-C16</f>
        <v>10556.340283483218</v>
      </c>
      <c r="H16" s="5">
        <v>10000</v>
      </c>
      <c r="I16" s="6">
        <f t="shared" si="0"/>
        <v>200</v>
      </c>
      <c r="J16" s="6">
        <f t="shared" si="1"/>
        <v>10200</v>
      </c>
      <c r="K16" s="7">
        <f t="shared" si="2"/>
        <v>10000</v>
      </c>
    </row>
    <row r="17" spans="2:11" x14ac:dyDescent="0.2">
      <c r="B17">
        <v>12</v>
      </c>
      <c r="C17" s="5">
        <v>10556.345410477448</v>
      </c>
      <c r="D17" s="11">
        <f>E17-C17</f>
        <v>105.50458952255212</v>
      </c>
      <c r="E17" s="11">
        <f t="shared" si="5"/>
        <v>10661.85</v>
      </c>
      <c r="F17" s="7"/>
      <c r="H17" s="5">
        <v>10000</v>
      </c>
      <c r="I17" s="6">
        <f t="shared" si="0"/>
        <v>100</v>
      </c>
      <c r="J17" s="6">
        <f t="shared" si="1"/>
        <v>10100</v>
      </c>
      <c r="K17" s="7">
        <f>K16-H17</f>
        <v>0</v>
      </c>
    </row>
    <row r="18" spans="2:11" ht="17" thickBot="1" x14ac:dyDescent="0.25">
      <c r="C18" s="8"/>
      <c r="D18" s="9">
        <f>SUM(D6:D17)</f>
        <v>7942.1995144067705</v>
      </c>
      <c r="E18" s="9"/>
      <c r="F18" s="10"/>
      <c r="H18" s="8"/>
      <c r="I18" s="9">
        <f>SUM(I6:I17)</f>
        <v>7800</v>
      </c>
      <c r="J18" s="9"/>
      <c r="K18" s="10"/>
    </row>
  </sheetData>
  <mergeCells count="2">
    <mergeCell ref="H3:K3"/>
    <mergeCell ref="C3:F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崔 世博</dc:creator>
  <cp:lastModifiedBy>崔 世博</cp:lastModifiedBy>
  <dcterms:created xsi:type="dcterms:W3CDTF">2020-01-01T16:13:00Z</dcterms:created>
  <dcterms:modified xsi:type="dcterms:W3CDTF">2020-01-01T16:28:36Z</dcterms:modified>
</cp:coreProperties>
</file>