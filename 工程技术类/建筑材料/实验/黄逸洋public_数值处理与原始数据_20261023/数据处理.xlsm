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Sheet1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F11" i="1" l="1"/>
  <c r="F12" i="1"/>
  <c r="G12" i="1" s="1"/>
  <c r="G11" i="1"/>
  <c r="F10" i="1"/>
  <c r="G10" i="1" s="1"/>
  <c r="F8" i="1"/>
  <c r="G8" i="1" s="1"/>
  <c r="F6" i="1"/>
  <c r="G6" i="1" s="1"/>
  <c r="F7" i="1"/>
  <c r="G7" i="1" s="1"/>
  <c r="F4" i="1"/>
  <c r="G4" i="1" s="1"/>
  <c r="F3" i="1"/>
  <c r="G3" i="1" s="1"/>
  <c r="F2" i="1"/>
  <c r="G2" i="1"/>
  <c r="H6" i="1" l="1"/>
  <c r="H10" i="1"/>
  <c r="H2" i="1"/>
</calcChain>
</file>

<file path=xl/sharedStrings.xml><?xml version="1.0" encoding="utf-8"?>
<sst xmlns="http://schemas.openxmlformats.org/spreadsheetml/2006/main" count="24" uniqueCount="15">
  <si>
    <t>烧结普通砖</t>
    <phoneticPr fontId="1" type="noConversion"/>
  </si>
  <si>
    <t>长</t>
  </si>
  <si>
    <t>长</t>
    <phoneticPr fontId="1" type="noConversion"/>
  </si>
  <si>
    <t>宽</t>
  </si>
  <si>
    <t>宽</t>
    <phoneticPr fontId="1" type="noConversion"/>
  </si>
  <si>
    <t>高</t>
  </si>
  <si>
    <t>高</t>
    <phoneticPr fontId="1" type="noConversion"/>
  </si>
  <si>
    <t>m/g</t>
  </si>
  <si>
    <t>m/g</t>
    <phoneticPr fontId="1" type="noConversion"/>
  </si>
  <si>
    <t>V/cm3</t>
  </si>
  <si>
    <t>V/cm3</t>
    <phoneticPr fontId="1" type="noConversion"/>
  </si>
  <si>
    <t>γ(g/cm3)</t>
  </si>
  <si>
    <t>γ(均值）</t>
  </si>
  <si>
    <t>烧结页岩砖</t>
    <phoneticPr fontId="1" type="noConversion"/>
  </si>
  <si>
    <t>蒸压灰砂砖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</si>
</sst>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80" formatCode="0.0_ "/>
  </numFmts>
  <fonts count="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180" fontId="0" fillId="0" borderId="1" xfId="0" applyNumberFormat="1" applyBorder="1" applyAlignment="1">
      <alignment horizontal="center" vertical="center"/>
    </xf>
    <xf numFmtId="180" fontId="0" fillId="0" borderId="1" xfId="0" applyNumberFormat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2"/>
  <sheetViews>
    <sheetView tabSelected="1" workbookViewId="0">
      <selection sqref="A1:H12"/>
    </sheetView>
  </sheetViews>
  <sheetFormatPr defaultRowHeight="13.5" x14ac:dyDescent="0.15"/>
  <cols>
    <col min="1" max="4" width="12.625" customWidth="1"/>
    <col min="5" max="5" width="9.375" customWidth="1"/>
    <col min="6" max="7" width="9.125" customWidth="1"/>
    <col min="8" max="8" width="9.5" customWidth="1"/>
    <col min="9" max="11" width="12.625" customWidth="1"/>
  </cols>
  <sheetData>
    <row r="1" spans="1:11" ht="18.95" customHeight="1" x14ac:dyDescent="0.15">
      <c r="A1" s="2" t="s">
        <v>0</v>
      </c>
      <c r="B1" s="2" t="s">
        <v>2</v>
      </c>
      <c r="C1" s="2" t="s">
        <v>4</v>
      </c>
      <c r="D1" s="2" t="s">
        <v>6</v>
      </c>
      <c r="E1" s="2" t="s">
        <v>8</v>
      </c>
      <c r="F1" s="2" t="s">
        <v>10</v>
      </c>
      <c r="G1" s="2" t="s">
        <v>11</v>
      </c>
      <c r="H1" s="2" t="s">
        <v>12</v>
      </c>
      <c r="I1" s="1"/>
      <c r="J1" s="1"/>
      <c r="K1" s="1"/>
    </row>
    <row r="2" spans="1:11" ht="18.95" customHeight="1" x14ac:dyDescent="0.15">
      <c r="A2" s="2">
        <v>1</v>
      </c>
      <c r="B2" s="2">
        <v>23.9</v>
      </c>
      <c r="C2" s="2">
        <v>11.4</v>
      </c>
      <c r="D2" s="3">
        <v>5</v>
      </c>
      <c r="E2" s="2">
        <v>2344</v>
      </c>
      <c r="F2" s="3">
        <f>voltage(B2,C2,D2)</f>
        <v>1362.3</v>
      </c>
      <c r="G2" s="3">
        <f>density(E2,F2)</f>
        <v>1.7206195404830067</v>
      </c>
      <c r="H2" s="4">
        <f>AVERAGE(G2:G4)</f>
        <v>1.6848021906462141</v>
      </c>
      <c r="I2" s="1"/>
      <c r="J2" s="1"/>
      <c r="K2" s="1"/>
    </row>
    <row r="3" spans="1:11" ht="18.95" customHeight="1" x14ac:dyDescent="0.15">
      <c r="A3" s="2">
        <v>2</v>
      </c>
      <c r="B3" s="2">
        <v>23.6</v>
      </c>
      <c r="C3" s="2">
        <v>11.4</v>
      </c>
      <c r="D3" s="2">
        <v>5.0999999999999996</v>
      </c>
      <c r="E3" s="2">
        <v>2250</v>
      </c>
      <c r="F3" s="3">
        <f>voltage(B3,C3,D3)</f>
        <v>1372.104</v>
      </c>
      <c r="G3" s="3">
        <f>density(E3,F3)</f>
        <v>1.6398173899354567</v>
      </c>
      <c r="H3" s="4"/>
      <c r="I3" s="1"/>
      <c r="J3" s="1"/>
      <c r="K3" s="1"/>
    </row>
    <row r="4" spans="1:11" ht="18.95" customHeight="1" x14ac:dyDescent="0.15">
      <c r="A4" s="2">
        <v>3</v>
      </c>
      <c r="B4" s="2">
        <v>23.8</v>
      </c>
      <c r="C4" s="2">
        <v>11.4</v>
      </c>
      <c r="D4" s="2">
        <v>5.0999999999999996</v>
      </c>
      <c r="E4" s="2">
        <v>2344</v>
      </c>
      <c r="F4" s="3">
        <f>voltage(B4,C4,D4)</f>
        <v>1383.732</v>
      </c>
      <c r="G4" s="3">
        <f>density(E4,F4)</f>
        <v>1.6939696415201788</v>
      </c>
      <c r="H4" s="4"/>
      <c r="I4" s="1"/>
      <c r="J4" s="1"/>
      <c r="K4" s="1"/>
    </row>
    <row r="5" spans="1:11" ht="18.95" customHeight="1" x14ac:dyDescent="0.15">
      <c r="A5" s="2" t="s">
        <v>13</v>
      </c>
      <c r="B5" s="2" t="s">
        <v>1</v>
      </c>
      <c r="C5" s="2" t="s">
        <v>3</v>
      </c>
      <c r="D5" s="2" t="s">
        <v>5</v>
      </c>
      <c r="E5" s="2" t="s">
        <v>7</v>
      </c>
      <c r="F5" s="2" t="s">
        <v>9</v>
      </c>
      <c r="G5" s="2" t="s">
        <v>11</v>
      </c>
      <c r="H5" s="2" t="s">
        <v>12</v>
      </c>
      <c r="I5" s="1"/>
      <c r="J5" s="1"/>
      <c r="K5" s="1"/>
    </row>
    <row r="6" spans="1:11" ht="18.95" customHeight="1" x14ac:dyDescent="0.15">
      <c r="A6" s="2">
        <v>1</v>
      </c>
      <c r="B6" s="2">
        <v>23.8</v>
      </c>
      <c r="C6" s="2">
        <v>11.4</v>
      </c>
      <c r="D6" s="2">
        <v>5.3</v>
      </c>
      <c r="E6" s="2">
        <v>2330</v>
      </c>
      <c r="F6" s="3">
        <f>voltage(B6,C6,D6)</f>
        <v>1437.9959999999999</v>
      </c>
      <c r="G6" s="3">
        <f>density(E6,F6)</f>
        <v>1.6203104876508698</v>
      </c>
      <c r="H6" s="4">
        <f>AVERAGE(G6:G8)</f>
        <v>1.7115948677224322</v>
      </c>
      <c r="I6" s="1"/>
      <c r="J6" s="1"/>
      <c r="K6" s="1"/>
    </row>
    <row r="7" spans="1:11" ht="18.95" customHeight="1" x14ac:dyDescent="0.15">
      <c r="A7" s="2">
        <v>2</v>
      </c>
      <c r="B7" s="2">
        <v>23.9</v>
      </c>
      <c r="C7" s="2">
        <v>11.3</v>
      </c>
      <c r="D7" s="2">
        <v>4.8</v>
      </c>
      <c r="E7" s="2">
        <v>2316</v>
      </c>
      <c r="F7" s="3">
        <f>voltage(B7,C7,D7)</f>
        <v>1296.336</v>
      </c>
      <c r="G7" s="3">
        <f>density(E7,F7)</f>
        <v>1.7865738512237568</v>
      </c>
      <c r="H7" s="4"/>
      <c r="I7" s="1"/>
      <c r="J7" s="1"/>
      <c r="K7" s="1"/>
    </row>
    <row r="8" spans="1:11" ht="18.95" customHeight="1" x14ac:dyDescent="0.15">
      <c r="A8" s="2">
        <v>3</v>
      </c>
      <c r="B8" s="2">
        <v>23.7</v>
      </c>
      <c r="C8" s="2">
        <v>11.2</v>
      </c>
      <c r="D8" s="2">
        <v>5.2</v>
      </c>
      <c r="E8" s="2">
        <v>2385</v>
      </c>
      <c r="F8" s="3">
        <f>voltage(B8,C8,D8)</f>
        <v>1380.288</v>
      </c>
      <c r="G8" s="3">
        <f>density(E8,F8)</f>
        <v>1.7279002642926693</v>
      </c>
      <c r="H8" s="4"/>
      <c r="I8" s="1"/>
      <c r="J8" s="1"/>
      <c r="K8" s="1"/>
    </row>
    <row r="9" spans="1:11" ht="18.95" customHeight="1" x14ac:dyDescent="0.15">
      <c r="A9" s="2" t="s">
        <v>14</v>
      </c>
      <c r="B9" s="2" t="s">
        <v>1</v>
      </c>
      <c r="C9" s="2" t="s">
        <v>3</v>
      </c>
      <c r="D9" s="2" t="s">
        <v>5</v>
      </c>
      <c r="E9" s="2" t="s">
        <v>7</v>
      </c>
      <c r="F9" s="2" t="s">
        <v>9</v>
      </c>
      <c r="G9" s="2" t="s">
        <v>11</v>
      </c>
      <c r="H9" s="2" t="s">
        <v>12</v>
      </c>
      <c r="I9" s="1"/>
      <c r="J9" s="1"/>
      <c r="K9" s="1"/>
    </row>
    <row r="10" spans="1:11" ht="18.95" customHeight="1" x14ac:dyDescent="0.15">
      <c r="A10" s="2">
        <v>1</v>
      </c>
      <c r="B10" s="2">
        <v>23.9</v>
      </c>
      <c r="C10" s="2">
        <v>11.4</v>
      </c>
      <c r="D10" s="2">
        <v>5.3</v>
      </c>
      <c r="E10" s="2">
        <v>2846</v>
      </c>
      <c r="F10" s="3">
        <f>voltage(B10,C10,D10)</f>
        <v>1444.0379999999998</v>
      </c>
      <c r="G10" s="3">
        <f>density(E10,F10)</f>
        <v>1.9708622626274381</v>
      </c>
      <c r="H10" s="4">
        <f>AVERAGE(G10:G12)</f>
        <v>1.9609086297868277</v>
      </c>
      <c r="I10" s="1"/>
      <c r="J10" s="1"/>
      <c r="K10" s="1"/>
    </row>
    <row r="11" spans="1:11" ht="18.95" customHeight="1" x14ac:dyDescent="0.15">
      <c r="A11" s="2">
        <v>2</v>
      </c>
      <c r="B11" s="2">
        <v>23.8</v>
      </c>
      <c r="C11" s="2">
        <v>11.3</v>
      </c>
      <c r="D11" s="2">
        <v>5.3</v>
      </c>
      <c r="E11" s="2">
        <v>2751</v>
      </c>
      <c r="F11" s="3">
        <f>voltage(B11,C11,D11)</f>
        <v>1425.3819999999998</v>
      </c>
      <c r="G11" s="3">
        <f>density(E11,F11)</f>
        <v>1.9300089379548784</v>
      </c>
      <c r="H11" s="4"/>
      <c r="I11" s="1"/>
      <c r="J11" s="1"/>
      <c r="K11" s="1"/>
    </row>
    <row r="12" spans="1:11" ht="18.95" customHeight="1" x14ac:dyDescent="0.15">
      <c r="A12" s="2">
        <v>3</v>
      </c>
      <c r="B12" s="2">
        <v>23.8</v>
      </c>
      <c r="C12" s="2">
        <v>11.3</v>
      </c>
      <c r="D12" s="3">
        <v>5</v>
      </c>
      <c r="E12" s="2">
        <v>2665</v>
      </c>
      <c r="F12" s="3">
        <f>voltage(B12,C12,D12)</f>
        <v>1344.7</v>
      </c>
      <c r="G12" s="3">
        <f>density(E12,F12)</f>
        <v>1.9818546887781661</v>
      </c>
      <c r="H12" s="4"/>
      <c r="I12" s="1"/>
      <c r="J12" s="1"/>
      <c r="K12" s="1"/>
    </row>
  </sheetData>
  <mergeCells count="3">
    <mergeCell ref="H2:H4"/>
    <mergeCell ref="H6:H8"/>
    <mergeCell ref="H10:H1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2014-11-12T06:42:58Z</dcterms:modified>
</cp:coreProperties>
</file>