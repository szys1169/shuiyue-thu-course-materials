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625"/>
  <workbookPr filterPrivacy="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5" i="1"/>
  <c r="B4" i="1"/>
</calcChain>
</file>

<file path=xl/sharedStrings.xml><?xml version="1.0" encoding="utf-8"?>
<sst xmlns="http://schemas.openxmlformats.org/spreadsheetml/2006/main" count="21" uniqueCount="21">
  <si>
    <t>梁宽b/m</t>
    <phoneticPr fontId="1" type="noConversion"/>
  </si>
  <si>
    <t>梁高h/m</t>
    <phoneticPr fontId="1" type="noConversion"/>
  </si>
  <si>
    <t>截面有效高度h0/m</t>
    <phoneticPr fontId="1" type="noConversion"/>
  </si>
  <si>
    <t>混凝土抗压强度平均值fc/kPa</t>
    <phoneticPr fontId="1" type="noConversion"/>
  </si>
  <si>
    <t>混凝土抗拉强度平均值ft/kPa</t>
    <phoneticPr fontId="1" type="noConversion"/>
  </si>
  <si>
    <t>混凝土系数α</t>
    <phoneticPr fontId="1" type="noConversion"/>
  </si>
  <si>
    <t>混凝土系数β</t>
    <phoneticPr fontId="1" type="noConversion"/>
  </si>
  <si>
    <t>受拉纵筋屈服强度标准值fy/kPa</t>
    <phoneticPr fontId="1" type="noConversion"/>
  </si>
  <si>
    <t>受拉纵筋直径d/m</t>
    <phoneticPr fontId="1" type="noConversion"/>
  </si>
  <si>
    <t>受拉纵筋根数n</t>
    <phoneticPr fontId="1" type="noConversion"/>
  </si>
  <si>
    <t>过镇海受压曲线参数ε0</t>
    <phoneticPr fontId="1" type="noConversion"/>
  </si>
  <si>
    <t>过镇海受压曲线上升段参数αa</t>
    <phoneticPr fontId="1" type="noConversion"/>
  </si>
  <si>
    <t>过镇海受压曲线下降段参数αd</t>
    <phoneticPr fontId="1" type="noConversion"/>
  </si>
  <si>
    <t>过镇海受拉曲线中峰值拉应力对应的拉应变εt0</t>
    <phoneticPr fontId="1" type="noConversion"/>
  </si>
  <si>
    <t>过镇海受拉曲线的下降段参数αt</t>
    <phoneticPr fontId="1" type="noConversion"/>
  </si>
  <si>
    <t>混凝土相关参数请参考叶列平老师教材P25的表2-3及附表2-1</t>
    <phoneticPr fontId="1" type="noConversion"/>
  </si>
  <si>
    <t>按实际配受拉筋情况填写</t>
    <phoneticPr fontId="1" type="noConversion"/>
  </si>
  <si>
    <t>按梁截面情况填写，有效高度要减去保护层，箍筋直径和一半的受拉筋直径</t>
    <phoneticPr fontId="1" type="noConversion"/>
  </si>
  <si>
    <t>受压的过镇海曲线相关参数，请参考叶列平老师教材P33的表2-4。强度代表值取平均值时需要线性内插</t>
    <phoneticPr fontId="1" type="noConversion"/>
  </si>
  <si>
    <t>受拉的过镇海曲线相关参数，请参考叶列平老师教材P38的表2-7。强度代表值取平均值时需要线性内插</t>
    <phoneticPr fontId="1" type="noConversion"/>
  </si>
  <si>
    <t>以例题5-1中的梁为算例进行测试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</si>
</sst>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="90" zoomScaleNormal="90" workbookViewId="0">
      <selection activeCell="C18" sqref="C18"/>
    </sheetView>
  </sheetViews>
  <sheetFormatPr defaultRowHeight="14" x14ac:dyDescent="0.3"/>
  <cols>
    <col min="1" max="1" width="40.83203125" bestFit="1" customWidth="1"/>
    <col min="3" max="3" width="91" bestFit="1" customWidth="1"/>
    <col min="4" max="5" width="23.9140625" bestFit="1" customWidth="1"/>
    <col min="6" max="7" width="11.6640625" bestFit="1" customWidth="1"/>
    <col min="8" max="8" width="27.58203125" bestFit="1" customWidth="1"/>
    <col min="9" max="9" width="16" bestFit="1" customWidth="1"/>
    <col min="10" max="10" width="13.4140625" bestFit="1" customWidth="1"/>
    <col min="11" max="11" width="20.33203125" bestFit="1" customWidth="1"/>
    <col min="12" max="13" width="26.5" bestFit="1" customWidth="1"/>
    <col min="14" max="14" width="40.83203125" bestFit="1" customWidth="1"/>
    <col min="15" max="16" width="26.25" bestFit="1" customWidth="1"/>
  </cols>
  <sheetData>
    <row r="1" spans="1:11" x14ac:dyDescent="0.3">
      <c r="A1" s="2" t="s">
        <v>0</v>
      </c>
      <c r="B1" s="1">
        <v>0.25</v>
      </c>
      <c r="C1" s="3" t="s">
        <v>17</v>
      </c>
      <c r="D1" s="2"/>
      <c r="E1" s="2"/>
      <c r="F1" s="2"/>
      <c r="G1" s="2"/>
      <c r="H1" s="2"/>
      <c r="I1" s="2"/>
      <c r="J1" s="2"/>
      <c r="K1" s="2"/>
    </row>
    <row r="2" spans="1:11" x14ac:dyDescent="0.3">
      <c r="A2" s="2" t="s">
        <v>1</v>
      </c>
      <c r="B2" s="1">
        <v>0.5</v>
      </c>
      <c r="C2" s="3"/>
    </row>
    <row r="3" spans="1:11" x14ac:dyDescent="0.3">
      <c r="A3" s="2" t="s">
        <v>2</v>
      </c>
      <c r="B3" s="1">
        <v>0.45900000000000002</v>
      </c>
      <c r="C3" s="3"/>
    </row>
    <row r="4" spans="1:11" x14ac:dyDescent="0.3">
      <c r="A4" s="2" t="s">
        <v>3</v>
      </c>
      <c r="B4" s="1">
        <f>31.15*10^3</f>
        <v>31150</v>
      </c>
      <c r="C4" s="3" t="s">
        <v>15</v>
      </c>
    </row>
    <row r="5" spans="1:11" x14ac:dyDescent="0.3">
      <c r="A5" s="2" t="s">
        <v>4</v>
      </c>
      <c r="B5" s="1">
        <f>2.62*1000</f>
        <v>2620</v>
      </c>
      <c r="C5" s="3"/>
    </row>
    <row r="6" spans="1:11" x14ac:dyDescent="0.3">
      <c r="A6" s="2" t="s">
        <v>5</v>
      </c>
      <c r="B6" s="1">
        <v>1</v>
      </c>
      <c r="C6" s="3"/>
    </row>
    <row r="7" spans="1:11" x14ac:dyDescent="0.3">
      <c r="A7" s="2" t="s">
        <v>6</v>
      </c>
      <c r="B7" s="1">
        <v>0.8</v>
      </c>
      <c r="C7" s="3"/>
    </row>
    <row r="8" spans="1:11" x14ac:dyDescent="0.3">
      <c r="A8" s="2" t="s">
        <v>7</v>
      </c>
      <c r="B8" s="1">
        <v>400000</v>
      </c>
      <c r="C8" s="3" t="s">
        <v>16</v>
      </c>
    </row>
    <row r="9" spans="1:11" x14ac:dyDescent="0.3">
      <c r="A9" s="2" t="s">
        <v>8</v>
      </c>
      <c r="B9" s="1">
        <v>0.02</v>
      </c>
      <c r="C9" s="3"/>
    </row>
    <row r="10" spans="1:11" x14ac:dyDescent="0.3">
      <c r="A10" s="2" t="s">
        <v>9</v>
      </c>
      <c r="B10" s="1">
        <v>4</v>
      </c>
      <c r="C10" s="3"/>
    </row>
    <row r="11" spans="1:11" x14ac:dyDescent="0.3">
      <c r="A11" s="2" t="s">
        <v>10</v>
      </c>
      <c r="B11" s="1">
        <v>1.6584E-3</v>
      </c>
      <c r="C11" s="3" t="s">
        <v>18</v>
      </c>
    </row>
    <row r="12" spans="1:11" x14ac:dyDescent="0.3">
      <c r="A12" s="1" t="s">
        <v>11</v>
      </c>
      <c r="B12" s="1">
        <v>2.0139</v>
      </c>
      <c r="C12" s="3"/>
    </row>
    <row r="13" spans="1:11" x14ac:dyDescent="0.3">
      <c r="A13" s="1" t="s">
        <v>12</v>
      </c>
      <c r="B13" s="1">
        <v>1.4267000000000001</v>
      </c>
      <c r="C13" s="3"/>
    </row>
    <row r="14" spans="1:11" x14ac:dyDescent="0.3">
      <c r="A14" s="1" t="s">
        <v>13</v>
      </c>
      <c r="B14" s="1">
        <f>109.64/10^6</f>
        <v>1.0964E-4</v>
      </c>
      <c r="C14" s="3" t="s">
        <v>19</v>
      </c>
    </row>
    <row r="15" spans="1:11" x14ac:dyDescent="0.3">
      <c r="A15" s="1" t="s">
        <v>14</v>
      </c>
      <c r="B15" s="1">
        <v>2.1564000000000001</v>
      </c>
      <c r="C15" s="3"/>
    </row>
    <row r="18" spans="1:1" x14ac:dyDescent="0.3">
      <c r="A18" s="1" t="s">
        <v>20</v>
      </c>
    </row>
  </sheetData>
  <mergeCells count="5">
    <mergeCell ref="C4:C7"/>
    <mergeCell ref="C11:C13"/>
    <mergeCell ref="C14:C15"/>
    <mergeCell ref="C8:C10"/>
    <mergeCell ref="C1:C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2017-12-09T06:31:36Z</dcterms:modified>
</cp:coreProperties>
</file>