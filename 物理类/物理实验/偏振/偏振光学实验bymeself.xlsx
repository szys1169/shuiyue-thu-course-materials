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105" windowWidth="19395" windowHeight="760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12" i="1"/>
  <c r="F3"/>
  <c r="F4"/>
  <c r="F5"/>
  <c r="F6"/>
  <c r="F7"/>
  <c r="F8"/>
  <c r="F9"/>
  <c r="F10"/>
  <c r="F11"/>
  <c r="F2"/>
  <c r="E3"/>
  <c r="E4"/>
  <c r="E5"/>
  <c r="E6"/>
  <c r="E7"/>
  <c r="E8"/>
  <c r="E9"/>
  <c r="E10"/>
  <c r="E11"/>
  <c r="E2"/>
  <c r="B2"/>
  <c r="B3"/>
  <c r="C3" s="1"/>
  <c r="B4"/>
  <c r="B5"/>
  <c r="C5" s="1"/>
  <c r="B6"/>
  <c r="B7"/>
  <c r="C7" s="1"/>
  <c r="B8"/>
  <c r="B9"/>
  <c r="C9" s="1"/>
  <c r="B10"/>
  <c r="B11"/>
  <c r="C4"/>
  <c r="C6"/>
  <c r="C8"/>
  <c r="C10"/>
  <c r="C2"/>
  <c r="A5"/>
  <c r="A6"/>
  <c r="A7" s="1"/>
  <c r="A4"/>
  <c r="A3"/>
</calcChain>
</file>

<file path=xl/sharedStrings.xml><?xml version="1.0" encoding="utf-8"?>
<sst xmlns="http://schemas.openxmlformats.org/spreadsheetml/2006/main" count="6" uniqueCount="5">
  <si>
    <t>角度（°）</t>
    <phoneticPr fontId="1" type="noConversion"/>
  </si>
  <si>
    <r>
      <t>(cos</t>
    </r>
    <r>
      <rPr>
        <sz val="11"/>
        <color theme="1"/>
        <rFont val="宋体"/>
        <family val="3"/>
        <charset val="134"/>
      </rPr>
      <t>θ</t>
    </r>
    <r>
      <rPr>
        <sz val="11"/>
        <color theme="1"/>
        <rFont val="宋体"/>
        <family val="2"/>
        <charset val="134"/>
      </rPr>
      <t>)</t>
    </r>
    <r>
      <rPr>
        <vertAlign val="superscript"/>
        <sz val="11"/>
        <color theme="1"/>
        <rFont val="宋体"/>
        <family val="3"/>
        <charset val="134"/>
      </rPr>
      <t>2</t>
    </r>
    <phoneticPr fontId="1" type="noConversion"/>
  </si>
  <si>
    <t>Im/mV</t>
    <phoneticPr fontId="1" type="noConversion"/>
  </si>
  <si>
    <t>相对透射率</t>
    <phoneticPr fontId="1" type="noConversion"/>
  </si>
  <si>
    <t>偏差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</si>
</sst>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2"/>
      <charset val="134"/>
    </font>
    <font>
      <vertAlign val="superscript"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>
      <selection activeCell="F12" sqref="F12"/>
    </sheetView>
  </sheetViews>
  <sheetFormatPr defaultRowHeight="13.5"/>
  <cols>
    <col min="1" max="1" width="9.75" customWidth="1"/>
    <col min="5" max="5" width="13.375" customWidth="1"/>
    <col min="6" max="6" width="13.75" customWidth="1"/>
  </cols>
  <sheetData>
    <row r="1" spans="1:6" ht="15.75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>
        <f>A2*3.1415926/180</f>
        <v>0</v>
      </c>
      <c r="C2">
        <f>(COS(B2))^2</f>
        <v>1</v>
      </c>
      <c r="D2">
        <v>1.379</v>
      </c>
      <c r="E2">
        <f>D2/1.379</f>
        <v>1</v>
      </c>
      <c r="F2">
        <f>(C2-E2)^2</f>
        <v>0</v>
      </c>
    </row>
    <row r="3" spans="1:6">
      <c r="A3">
        <f>A2+15</f>
        <v>15</v>
      </c>
      <c r="B3">
        <f t="shared" ref="B3:B11" si="0">A3*3.1415926/180</f>
        <v>0.2617993833333333</v>
      </c>
      <c r="C3">
        <f t="shared" ref="C3:C11" si="1">(COS(B3))^2</f>
        <v>0.93301270412512727</v>
      </c>
      <c r="D3">
        <v>1.2569999999999999</v>
      </c>
      <c r="E3">
        <f t="shared" ref="E3:E11" si="2">D3/1.379</f>
        <v>0.9115300942712109</v>
      </c>
      <c r="F3">
        <f t="shared" ref="F3:F11" si="3">(C3-E3)^2</f>
        <v>4.6150252613558462E-4</v>
      </c>
    </row>
    <row r="4" spans="1:6">
      <c r="A4">
        <f>A3+15</f>
        <v>30</v>
      </c>
      <c r="B4">
        <f t="shared" si="0"/>
        <v>0.5235987666666666</v>
      </c>
      <c r="C4">
        <f t="shared" si="1"/>
        <v>0.7500000077350204</v>
      </c>
      <c r="D4">
        <v>0.98499999999999999</v>
      </c>
      <c r="E4">
        <f t="shared" si="2"/>
        <v>0.7142857142857143</v>
      </c>
      <c r="F4">
        <f t="shared" si="3"/>
        <v>1.2755107565831487E-3</v>
      </c>
    </row>
    <row r="5" spans="1:6">
      <c r="A5">
        <f t="shared" ref="A5:A9" si="4">A4+15</f>
        <v>45</v>
      </c>
      <c r="B5">
        <f t="shared" si="0"/>
        <v>0.78539815000000002</v>
      </c>
      <c r="C5">
        <f t="shared" si="1"/>
        <v>0.50000001339744826</v>
      </c>
      <c r="D5">
        <v>0.63400000000000001</v>
      </c>
      <c r="E5">
        <f t="shared" si="2"/>
        <v>0.45975344452501815</v>
      </c>
      <c r="F5">
        <f t="shared" si="3"/>
        <v>1.6197863060032603E-3</v>
      </c>
    </row>
    <row r="6" spans="1:6">
      <c r="A6">
        <f t="shared" si="4"/>
        <v>60</v>
      </c>
      <c r="B6">
        <f t="shared" si="0"/>
        <v>1.0471975333333332</v>
      </c>
      <c r="C6">
        <f t="shared" si="1"/>
        <v>0.25000001547004103</v>
      </c>
      <c r="D6">
        <v>0.29699999999999999</v>
      </c>
      <c r="E6">
        <f t="shared" si="2"/>
        <v>0.21537345902828137</v>
      </c>
      <c r="F6">
        <f t="shared" si="3"/>
        <v>1.1989984110143675E-3</v>
      </c>
    </row>
    <row r="7" spans="1:6">
      <c r="A7">
        <f t="shared" si="4"/>
        <v>75</v>
      </c>
      <c r="B7">
        <f t="shared" si="0"/>
        <v>1.3089969166666668</v>
      </c>
      <c r="C7">
        <f t="shared" si="1"/>
        <v>6.6987309272321258E-2</v>
      </c>
      <c r="D7">
        <v>6.6000000000000003E-2</v>
      </c>
      <c r="E7">
        <f t="shared" si="2"/>
        <v>4.7860768672951415E-2</v>
      </c>
      <c r="F7">
        <f t="shared" si="3"/>
        <v>3.6582455529934291E-4</v>
      </c>
    </row>
    <row r="8" spans="1:6">
      <c r="A8">
        <v>80</v>
      </c>
      <c r="B8">
        <f t="shared" si="0"/>
        <v>1.3962633777777778</v>
      </c>
      <c r="C8">
        <f t="shared" si="1"/>
        <v>3.0153697753174689E-2</v>
      </c>
      <c r="D8">
        <v>2.3E-2</v>
      </c>
      <c r="E8">
        <f t="shared" si="2"/>
        <v>1.6678752719361856E-2</v>
      </c>
      <c r="F8">
        <f t="shared" si="3"/>
        <v>1.8157414366427714E-4</v>
      </c>
    </row>
    <row r="9" spans="1:6">
      <c r="A9">
        <v>84</v>
      </c>
      <c r="B9">
        <f t="shared" si="0"/>
        <v>1.4660765466666668</v>
      </c>
      <c r="C9">
        <f t="shared" si="1"/>
        <v>1.0926204832671886E-2</v>
      </c>
      <c r="D9">
        <v>5.0000000000000001E-3</v>
      </c>
      <c r="E9">
        <f t="shared" si="2"/>
        <v>3.6258158085569255E-3</v>
      </c>
      <c r="F9">
        <f t="shared" si="3"/>
        <v>5.329567990341819E-5</v>
      </c>
    </row>
    <row r="10" spans="1:6">
      <c r="A10">
        <v>87</v>
      </c>
      <c r="B10">
        <f t="shared" si="0"/>
        <v>1.5184364233333332</v>
      </c>
      <c r="C10">
        <f t="shared" si="1"/>
        <v>2.7390550233324035E-3</v>
      </c>
      <c r="D10">
        <v>1E-3</v>
      </c>
      <c r="E10">
        <f t="shared" si="2"/>
        <v>7.2516316171138508E-4</v>
      </c>
      <c r="F10">
        <f t="shared" si="3"/>
        <v>4.0557604303033708E-6</v>
      </c>
    </row>
    <row r="11" spans="1:6">
      <c r="A11">
        <v>90</v>
      </c>
      <c r="B11">
        <f t="shared" si="0"/>
        <v>1.5707963</v>
      </c>
      <c r="C11">
        <v>0</v>
      </c>
      <c r="D11">
        <v>0</v>
      </c>
      <c r="E11">
        <f t="shared" si="2"/>
        <v>0</v>
      </c>
      <c r="F11">
        <f t="shared" si="3"/>
        <v>0</v>
      </c>
    </row>
    <row r="12" spans="1:6">
      <c r="F12">
        <f>POWER(SUM(F2:F11)/10,0.5)</f>
        <v>2.2716839874933534E-2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yuqiankun</dc:creator>
  <cp:lastModifiedBy>yuqiankun</cp:lastModifiedBy>
  <dcterms:created xsi:type="dcterms:W3CDTF">2011-04-12T14:18:13Z</dcterms:created>
  <dcterms:modified xsi:type="dcterms:W3CDTF">2011-04-12T14:57:07Z</dcterms:modified>
</cp:coreProperties>
</file>