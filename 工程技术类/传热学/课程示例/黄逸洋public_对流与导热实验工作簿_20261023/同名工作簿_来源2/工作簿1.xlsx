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showInkAnnotation="0" autoCompressPictures="0"/>
  <bookViews>
    <workbookView minimized="1" xWindow="6380" yWindow="0" windowWidth="19220" windowHeight="14820" tabRatio="500"/>
  </bookViews>
  <sheets>
    <sheet name="工作表1" sheetId="1" r:id="rId1"/>
  </sheets>
  <definedNames>
    <definedName name="_Hlk339232396" localSheetId="0">工作表1!$A$2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4" i="1"/>
  <c r="L5" i="1"/>
  <c r="L6" i="1"/>
  <c r="L7" i="1"/>
  <c r="L8" i="1"/>
  <c r="L9" i="1"/>
  <c r="L10" i="1"/>
  <c r="L11" i="1"/>
  <c r="L12" i="1"/>
  <c r="L4" i="1"/>
  <c r="J4" i="1"/>
  <c r="J5" i="1"/>
  <c r="J6" i="1"/>
  <c r="J7" i="1"/>
  <c r="G8" i="1"/>
  <c r="I8" i="1"/>
  <c r="J8" i="1"/>
  <c r="G9" i="1"/>
  <c r="I9" i="1"/>
  <c r="J9" i="1"/>
  <c r="J10" i="1"/>
  <c r="J11" i="1"/>
  <c r="J12" i="1"/>
  <c r="J3" i="1"/>
  <c r="H4" i="1"/>
  <c r="G4" i="1"/>
  <c r="I4" i="1"/>
  <c r="H5" i="1"/>
  <c r="G5" i="1"/>
  <c r="I5" i="1"/>
  <c r="H6" i="1"/>
  <c r="G6" i="1"/>
  <c r="I6" i="1"/>
  <c r="H7" i="1"/>
  <c r="G7" i="1"/>
  <c r="I7" i="1"/>
  <c r="H8" i="1"/>
  <c r="H9" i="1"/>
  <c r="H10" i="1"/>
  <c r="G10" i="1"/>
  <c r="I10" i="1"/>
  <c r="H11" i="1"/>
  <c r="G11" i="1"/>
  <c r="I11" i="1"/>
  <c r="H12" i="1"/>
  <c r="G12" i="1"/>
  <c r="I12" i="1"/>
  <c r="H3" i="1"/>
  <c r="G3" i="1"/>
  <c r="I3" i="1"/>
  <c r="H2" i="1"/>
  <c r="G2" i="1"/>
</calcChain>
</file>

<file path=xl/sharedStrings.xml><?xml version="1.0" encoding="utf-8"?>
<sst xmlns="http://schemas.openxmlformats.org/spreadsheetml/2006/main" count="6" uniqueCount="6">
  <si>
    <t>τ/min</t>
  </si>
  <si>
    <r>
      <t>t</t>
    </r>
    <r>
      <rPr>
        <vertAlign val="subscript"/>
        <sz val="12"/>
        <color rgb="FF000000"/>
        <rFont val="宋体"/>
        <family val="3"/>
        <charset val="134"/>
      </rPr>
      <t>1</t>
    </r>
    <r>
      <rPr>
        <sz val="12"/>
        <color rgb="FF000000"/>
        <rFont val="宋体"/>
        <family val="3"/>
        <charset val="134"/>
      </rPr>
      <t>/℃</t>
    </r>
  </si>
  <si>
    <r>
      <t>t</t>
    </r>
    <r>
      <rPr>
        <vertAlign val="subscript"/>
        <sz val="12"/>
        <color rgb="FF000000"/>
        <rFont val="宋体"/>
        <family val="3"/>
        <charset val="134"/>
      </rPr>
      <t>2</t>
    </r>
    <r>
      <rPr>
        <sz val="12"/>
        <color rgb="FF000000"/>
        <rFont val="宋体"/>
        <family val="3"/>
        <charset val="134"/>
      </rPr>
      <t>/℃</t>
    </r>
  </si>
  <si>
    <r>
      <t>t</t>
    </r>
    <r>
      <rPr>
        <vertAlign val="subscript"/>
        <sz val="12"/>
        <color rgb="FF000000"/>
        <rFont val="宋体"/>
        <family val="3"/>
        <charset val="134"/>
      </rPr>
      <t>3</t>
    </r>
    <r>
      <rPr>
        <sz val="12"/>
        <color rgb="FF000000"/>
        <rFont val="宋体"/>
        <family val="3"/>
        <charset val="134"/>
      </rPr>
      <t>/℃</t>
    </r>
  </si>
  <si>
    <r>
      <t>t</t>
    </r>
    <r>
      <rPr>
        <vertAlign val="subscript"/>
        <sz val="12"/>
        <color rgb="FF000000"/>
        <rFont val="宋体"/>
        <family val="3"/>
        <charset val="134"/>
      </rPr>
      <t>4</t>
    </r>
    <r>
      <rPr>
        <sz val="12"/>
        <color rgb="FF000000"/>
        <rFont val="宋体"/>
        <family val="3"/>
        <charset val="134"/>
      </rPr>
      <t>/℃</t>
    </r>
  </si>
  <si>
    <t>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</si>
</sst>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85" formatCode="0.0_);[Red]\(0.0\)"/>
    <numFmt numFmtId="190" formatCode="0.0000000_);[Red]\(0.0000000\)"/>
    <numFmt numFmtId="192" formatCode="0.000000000_);[Red]\(0.000000000\)"/>
  </numFmts>
  <fonts count="8" x14ac:knownFonts="1">
    <font>
      <sz val="12"/>
      <color theme="1"/>
      <name val="宋体"/>
      <family val="2"/>
      <charset val="134"/>
      <scheme val="minor"/>
    </font>
    <font>
      <sz val="12"/>
      <color rgb="FF000000"/>
      <name val="宋体"/>
      <family val="3"/>
      <charset val="134"/>
    </font>
    <font>
      <vertAlign val="subscript"/>
      <sz val="12"/>
      <color rgb="FF000000"/>
      <name val="宋体"/>
      <family val="3"/>
      <charset val="134"/>
    </font>
    <font>
      <sz val="12"/>
      <color rgb="FF000000"/>
      <name val="Cambria"/>
    </font>
    <font>
      <sz val="12"/>
      <color theme="1"/>
      <name val="Cambria Math"/>
    </font>
    <font>
      <sz val="9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61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90" fontId="0" fillId="0" borderId="0" xfId="0" applyNumberFormat="1"/>
    <xf numFmtId="192" fontId="0" fillId="0" borderId="0" xfId="0" applyNumberFormat="1"/>
    <xf numFmtId="192" fontId="0" fillId="0" borderId="5" xfId="0" applyNumberFormat="1" applyBorder="1"/>
    <xf numFmtId="190" fontId="0" fillId="0" borderId="5" xfId="0" applyNumberFormat="1" applyBorder="1"/>
    <xf numFmtId="185" fontId="0" fillId="0" borderId="5" xfId="0" applyNumberFormat="1" applyBorder="1"/>
    <xf numFmtId="0" fontId="1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</cellXfs>
  <cellStyles count="61"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超链接" xfId="49" builtinId="8" hidden="1"/>
    <cellStyle name="超链接" xfId="51" builtinId="8" hidden="1"/>
    <cellStyle name="超链接" xfId="53" builtinId="8" hidden="1"/>
    <cellStyle name="超链接" xfId="55" builtinId="8" hidden="1"/>
    <cellStyle name="超链接" xfId="57" builtinId="8" hidden="1"/>
    <cellStyle name="超链接" xfId="59" builtinId="8" hidden="1"/>
    <cellStyle name="访问过的超链接" xfId="2" builtinId="9" hidden="1"/>
    <cellStyle name="访问过的超链接" xfId="4" builtinId="9" hidden="1"/>
    <cellStyle name="访问过的超链接" xfId="6" builtinId="9" hidden="1"/>
    <cellStyle name="访问过的超链接" xfId="8" builtinId="9" hidden="1"/>
    <cellStyle name="访问过的超链接" xfId="10" builtinId="9" hidden="1"/>
    <cellStyle name="访问过的超链接" xfId="12" builtinId="9" hidden="1"/>
    <cellStyle name="访问过的超链接" xfId="14" builtinId="9" hidden="1"/>
    <cellStyle name="访问过的超链接" xfId="16" builtinId="9" hidden="1"/>
    <cellStyle name="访问过的超链接" xfId="18" builtinId="9" hidden="1"/>
    <cellStyle name="访问过的超链接" xfId="20" builtinId="9" hidden="1"/>
    <cellStyle name="访问过的超链接" xfId="22" builtinId="9" hidden="1"/>
    <cellStyle name="访问过的超链接" xfId="24" builtinId="9" hidden="1"/>
    <cellStyle name="访问过的超链接" xfId="26" builtinId="9" hidden="1"/>
    <cellStyle name="访问过的超链接" xfId="28" builtinId="9" hidden="1"/>
    <cellStyle name="访问过的超链接" xfId="30" builtinId="9" hidden="1"/>
    <cellStyle name="访问过的超链接" xfId="32" builtinId="9" hidden="1"/>
    <cellStyle name="访问过的超链接" xfId="34" builtinId="9" hidden="1"/>
    <cellStyle name="访问过的超链接" xfId="36" builtinId="9" hidden="1"/>
    <cellStyle name="访问过的超链接" xfId="38" builtinId="9" hidden="1"/>
    <cellStyle name="访问过的超链接" xfId="40" builtinId="9" hidden="1"/>
    <cellStyle name="访问过的超链接" xfId="42" builtinId="9" hidden="1"/>
    <cellStyle name="访问过的超链接" xfId="44" builtinId="9" hidden="1"/>
    <cellStyle name="访问过的超链接" xfId="46" builtinId="9" hidden="1"/>
    <cellStyle name="访问过的超链接" xfId="48" builtinId="9" hidden="1"/>
    <cellStyle name="访问过的超链接" xfId="50" builtinId="9" hidden="1"/>
    <cellStyle name="访问过的超链接" xfId="52" builtinId="9" hidden="1"/>
    <cellStyle name="访问过的超链接" xfId="54" builtinId="9" hidden="1"/>
    <cellStyle name="访问过的超链接" xfId="56" builtinId="9" hidden="1"/>
    <cellStyle name="访问过的超链接" xfId="58" builtinId="9" hidden="1"/>
    <cellStyle name="访问过的超链接" xfId="60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/>
              <a:t>t1</a:t>
            </a:r>
            <a:r>
              <a:rPr lang="zh-CN" altLang="en-US"/>
              <a:t>、</a:t>
            </a:r>
            <a:r>
              <a:rPr lang="en-US" altLang="zh-CN"/>
              <a:t>t2</a:t>
            </a:r>
            <a:r>
              <a:rPr lang="zh-CN" altLang="en-US"/>
              <a:t>随时间变化曲线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t1</c:v>
          </c:tx>
          <c:spPr>
            <a:ln w="25400" cap="flat" cmpd="sng" algn="ctr">
              <a:solidFill>
                <a:schemeClr val="accent2"/>
              </a:solidFill>
              <a:prstDash val="solid"/>
            </a:ln>
            <a:effectLst/>
          </c:spPr>
          <c:marker>
            <c:spPr>
              <a:solidFill>
                <a:schemeClr val="lt1"/>
              </a:solidFill>
              <a:ln w="25400" cap="flat" cmpd="sng" algn="ctr">
                <a:solidFill>
                  <a:schemeClr val="accent2"/>
                </a:solidFill>
                <a:prstDash val="solid"/>
              </a:ln>
              <a:effectLst/>
            </c:spPr>
          </c:marker>
          <c:cat>
            <c:numRef>
              <c:f>工作表1!$F$2:$F$12</c:f>
              <c:numCache>
                <c:formatCode>General</c:formatCode>
                <c:ptCount val="11"/>
                <c:pt idx="0">
                  <c:v>0.0</c:v>
                </c:pt>
                <c:pt idx="1">
                  <c:v>120.0</c:v>
                </c:pt>
                <c:pt idx="2">
                  <c:v>240.0</c:v>
                </c:pt>
                <c:pt idx="3">
                  <c:v>360.0</c:v>
                </c:pt>
                <c:pt idx="4">
                  <c:v>480.0</c:v>
                </c:pt>
                <c:pt idx="5">
                  <c:v>600.0</c:v>
                </c:pt>
                <c:pt idx="6">
                  <c:v>720.0</c:v>
                </c:pt>
                <c:pt idx="7">
                  <c:v>840.0</c:v>
                </c:pt>
                <c:pt idx="8">
                  <c:v>960.0</c:v>
                </c:pt>
                <c:pt idx="9">
                  <c:v>1080.0</c:v>
                </c:pt>
                <c:pt idx="10">
                  <c:v>1200.0</c:v>
                </c:pt>
              </c:numCache>
            </c:numRef>
          </c:cat>
          <c:val>
            <c:numRef>
              <c:f>工作表1!$B$2:$B$12</c:f>
              <c:numCache>
                <c:formatCode>General</c:formatCode>
                <c:ptCount val="11"/>
                <c:pt idx="0">
                  <c:v>14.6</c:v>
                </c:pt>
                <c:pt idx="1">
                  <c:v>19.1</c:v>
                </c:pt>
                <c:pt idx="2">
                  <c:v>20.9</c:v>
                </c:pt>
                <c:pt idx="3">
                  <c:v>22.3</c:v>
                </c:pt>
                <c:pt idx="4">
                  <c:v>23.5</c:v>
                </c:pt>
                <c:pt idx="5">
                  <c:v>24.5</c:v>
                </c:pt>
                <c:pt idx="6">
                  <c:v>25.4</c:v>
                </c:pt>
                <c:pt idx="7">
                  <c:v>26.3</c:v>
                </c:pt>
                <c:pt idx="8">
                  <c:v>27.1</c:v>
                </c:pt>
                <c:pt idx="9">
                  <c:v>27.9</c:v>
                </c:pt>
                <c:pt idx="10">
                  <c:v>28.6</c:v>
                </c:pt>
              </c:numCache>
            </c:numRef>
          </c:val>
          <c:smooth val="0"/>
        </c:ser>
        <c:ser>
          <c:idx val="1"/>
          <c:order val="1"/>
          <c:tx>
            <c:v>t2</c:v>
          </c:tx>
          <c:spPr>
            <a:ln w="25400" cap="flat" cmpd="sng" algn="ctr">
              <a:solidFill>
                <a:schemeClr val="accent1"/>
              </a:solidFill>
              <a:prstDash val="solid"/>
            </a:ln>
            <a:effectLst/>
          </c:spPr>
          <c:marker>
            <c:spPr>
              <a:solidFill>
                <a:schemeClr val="lt1"/>
              </a:solidFill>
              <a:ln w="25400" cap="flat" cmpd="sng" algn="ctr">
                <a:solidFill>
                  <a:schemeClr val="accent1"/>
                </a:solidFill>
                <a:prstDash val="solid"/>
              </a:ln>
              <a:effectLst/>
            </c:spPr>
          </c:marker>
          <c:val>
            <c:numRef>
              <c:f>工作表1!$C$2:$C$12</c:f>
              <c:numCache>
                <c:formatCode>General</c:formatCode>
                <c:ptCount val="11"/>
                <c:pt idx="0">
                  <c:v>14.1</c:v>
                </c:pt>
                <c:pt idx="1">
                  <c:v>14.1</c:v>
                </c:pt>
                <c:pt idx="2">
                  <c:v>14.3</c:v>
                </c:pt>
                <c:pt idx="3">
                  <c:v>14.5</c:v>
                </c:pt>
                <c:pt idx="4">
                  <c:v>14.9</c:v>
                </c:pt>
                <c:pt idx="5">
                  <c:v>15.4</c:v>
                </c:pt>
                <c:pt idx="6">
                  <c:v>15.9</c:v>
                </c:pt>
                <c:pt idx="7">
                  <c:v>16.3</c:v>
                </c:pt>
                <c:pt idx="8">
                  <c:v>16.8</c:v>
                </c:pt>
                <c:pt idx="9">
                  <c:v>17.2</c:v>
                </c:pt>
                <c:pt idx="10">
                  <c:v>17.7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3631848"/>
        <c:axId val="-2133631224"/>
      </c:lineChart>
      <c:catAx>
        <c:axId val="-2133631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时间</a:t>
                </a:r>
                <a:r>
                  <a:rPr lang="en-US" altLang="zh-CN"/>
                  <a:t>/s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33631224"/>
        <c:crosses val="autoZero"/>
        <c:auto val="1"/>
        <c:lblAlgn val="ctr"/>
        <c:lblOffset val="100"/>
        <c:noMultiLvlLbl val="0"/>
      </c:catAx>
      <c:valAx>
        <c:axId val="-2133631224"/>
        <c:scaling>
          <c:orientation val="minMax"/>
          <c:min val="13.0"/>
        </c:scaling>
        <c:delete val="0"/>
        <c:axPos val="l"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zh-CN" altLang="en-US"/>
                  <a:t>温度</a:t>
                </a:r>
                <a:r>
                  <a:rPr lang="en-US" altLang="zh-CN"/>
                  <a:t>/℃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336318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导热系数随时间变化曲线</a:t>
            </a:r>
            <a:endParaRPr lang="zh-CN" alt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flat" cmpd="sng" algn="ctr">
              <a:solidFill>
                <a:schemeClr val="accent5"/>
              </a:solidFill>
              <a:prstDash val="solid"/>
            </a:ln>
            <a:effectLst/>
          </c:spPr>
          <c:marker>
            <c:spPr>
              <a:solidFill>
                <a:schemeClr val="lt1"/>
              </a:solidFill>
              <a:ln w="25400" cap="flat" cmpd="sng" algn="ctr">
                <a:solidFill>
                  <a:schemeClr val="accent5"/>
                </a:solidFill>
                <a:prstDash val="solid"/>
              </a:ln>
              <a:effectLst/>
            </c:spPr>
          </c:marker>
          <c:xVal>
            <c:numRef>
              <c:f>工作表1!$F$4:$F$12</c:f>
              <c:numCache>
                <c:formatCode>General</c:formatCode>
                <c:ptCount val="9"/>
                <c:pt idx="0">
                  <c:v>240.0</c:v>
                </c:pt>
                <c:pt idx="1">
                  <c:v>360.0</c:v>
                </c:pt>
                <c:pt idx="2">
                  <c:v>480.0</c:v>
                </c:pt>
                <c:pt idx="3">
                  <c:v>600.0</c:v>
                </c:pt>
                <c:pt idx="4">
                  <c:v>720.0</c:v>
                </c:pt>
                <c:pt idx="5">
                  <c:v>840.0</c:v>
                </c:pt>
                <c:pt idx="6">
                  <c:v>960.0</c:v>
                </c:pt>
                <c:pt idx="7">
                  <c:v>1080.0</c:v>
                </c:pt>
                <c:pt idx="8">
                  <c:v>1200.0</c:v>
                </c:pt>
              </c:numCache>
            </c:numRef>
          </c:xVal>
          <c:yVal>
            <c:numRef>
              <c:f>工作表1!$M$4:$M$12</c:f>
              <c:numCache>
                <c:formatCode>0.0000000_);[Red]\(0.0000000\)</c:formatCode>
                <c:ptCount val="9"/>
                <c:pt idx="0">
                  <c:v>0.159317419696399</c:v>
                </c:pt>
                <c:pt idx="1">
                  <c:v>0.146086196189426</c:v>
                </c:pt>
                <c:pt idx="2">
                  <c:v>0.147733753487333</c:v>
                </c:pt>
                <c:pt idx="3">
                  <c:v>0.151861240027968</c:v>
                </c:pt>
                <c:pt idx="4">
                  <c:v>0.153841252203923</c:v>
                </c:pt>
                <c:pt idx="5">
                  <c:v>0.15026867831601</c:v>
                </c:pt>
                <c:pt idx="6">
                  <c:v>0.151005365796815</c:v>
                </c:pt>
                <c:pt idx="7">
                  <c:v>0.148034164549163</c:v>
                </c:pt>
                <c:pt idx="8">
                  <c:v>0.149068554786097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6147464"/>
        <c:axId val="-2095370456"/>
      </c:scatterChart>
      <c:valAx>
        <c:axId val="-20961474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时间</a:t>
                </a:r>
                <a:r>
                  <a:rPr lang="en-US" altLang="zh-CN"/>
                  <a:t>/s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095370456"/>
        <c:crosses val="autoZero"/>
        <c:crossBetween val="midCat"/>
      </c:valAx>
      <c:valAx>
        <c:axId val="-20953704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zh-CN" altLang="en-US"/>
                  <a:t>导热系数</a:t>
                </a:r>
                <a:endParaRPr lang="zh-CN" altLang="en-US"/>
              </a:p>
            </c:rich>
          </c:tx>
          <c:layout/>
          <c:overlay val="0"/>
        </c:title>
        <c:numFmt formatCode="0.0000000_);[Red]\(0.0000000\)" sourceLinked="1"/>
        <c:majorTickMark val="out"/>
        <c:minorTickMark val="none"/>
        <c:tickLblPos val="nextTo"/>
        <c:crossAx val="-20961474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导温系数随时间变化曲线</a:t>
            </a:r>
            <a:endParaRPr lang="zh-CN" alt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flat" cmpd="sng" algn="ctr">
              <a:solidFill>
                <a:schemeClr val="accent5"/>
              </a:solidFill>
              <a:prstDash val="solid"/>
            </a:ln>
            <a:effectLst/>
          </c:spPr>
          <c:marker>
            <c:spPr>
              <a:solidFill>
                <a:schemeClr val="lt1"/>
              </a:solidFill>
              <a:ln w="25400" cap="flat" cmpd="sng" algn="ctr">
                <a:solidFill>
                  <a:schemeClr val="accent5"/>
                </a:solidFill>
                <a:prstDash val="solid"/>
              </a:ln>
              <a:effectLst/>
            </c:spPr>
          </c:marker>
          <c:xVal>
            <c:numRef>
              <c:f>工作表1!$F$4:$F$12</c:f>
              <c:numCache>
                <c:formatCode>General</c:formatCode>
                <c:ptCount val="9"/>
                <c:pt idx="0">
                  <c:v>240.0</c:v>
                </c:pt>
                <c:pt idx="1">
                  <c:v>360.0</c:v>
                </c:pt>
                <c:pt idx="2">
                  <c:v>480.0</c:v>
                </c:pt>
                <c:pt idx="3">
                  <c:v>600.0</c:v>
                </c:pt>
                <c:pt idx="4">
                  <c:v>720.0</c:v>
                </c:pt>
                <c:pt idx="5">
                  <c:v>840.0</c:v>
                </c:pt>
                <c:pt idx="6">
                  <c:v>960.0</c:v>
                </c:pt>
                <c:pt idx="7">
                  <c:v>1080.0</c:v>
                </c:pt>
                <c:pt idx="8">
                  <c:v>1200.0</c:v>
                </c:pt>
              </c:numCache>
            </c:numRef>
          </c:xVal>
          <c:yVal>
            <c:numRef>
              <c:f>工作表1!$L$4:$L$12</c:f>
              <c:numCache>
                <c:formatCode>0.000000000_);[Red]\(0.000000000\)</c:formatCode>
                <c:ptCount val="9"/>
                <c:pt idx="0">
                  <c:v>2.44222759700692E-7</c:v>
                </c:pt>
                <c:pt idx="1">
                  <c:v>2.044970563554E-7</c:v>
                </c:pt>
                <c:pt idx="2">
                  <c:v>2.0955015648629E-7</c:v>
                </c:pt>
                <c:pt idx="3">
                  <c:v>2.19180933221089E-7</c:v>
                </c:pt>
                <c:pt idx="4">
                  <c:v>2.23074730147078E-7</c:v>
                </c:pt>
                <c:pt idx="5">
                  <c:v>2.14101209117083E-7</c:v>
                </c:pt>
                <c:pt idx="6">
                  <c:v>2.15935129614946E-7</c:v>
                </c:pt>
                <c:pt idx="7">
                  <c:v>2.08830144902219E-7</c:v>
                </c:pt>
                <c:pt idx="8">
                  <c:v>2.11172157311962E-7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9154456"/>
        <c:axId val="-2095267832"/>
      </c:scatterChart>
      <c:valAx>
        <c:axId val="209915445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时间</a:t>
                </a:r>
                <a:r>
                  <a:rPr lang="en-US" altLang="zh-CN"/>
                  <a:t>/s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095267832"/>
        <c:crosses val="autoZero"/>
        <c:crossBetween val="midCat"/>
      </c:valAx>
      <c:valAx>
        <c:axId val="-2095267832"/>
        <c:scaling>
          <c:orientation val="minMax"/>
          <c:min val="2.0E-7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zh-CN" altLang="en-US"/>
                  <a:t>导温系数</a:t>
                </a:r>
                <a:r>
                  <a:rPr lang="en-US" altLang="zh-CN"/>
                  <a:t>a</a:t>
                </a:r>
                <a:endParaRPr lang="zh-CN" altLang="en-US"/>
              </a:p>
            </c:rich>
          </c:tx>
          <c:layout/>
          <c:overlay val="0"/>
        </c:title>
        <c:numFmt formatCode="0.000000000_);[Red]\(0.000000000\)" sourceLinked="1"/>
        <c:majorTickMark val="out"/>
        <c:minorTickMark val="none"/>
        <c:tickLblPos val="nextTo"/>
        <c:crossAx val="2099154456"/>
        <c:crosses val="autoZero"/>
        <c:crossBetween val="midCat"/>
      </c:valAx>
      <c:spPr>
        <a:solidFill>
          <a:schemeClr val="lt1"/>
        </a:solidFill>
        <a:ln w="25400" cap="flat" cmpd="sng" algn="ctr">
          <a:solidFill>
            <a:schemeClr val="accent5"/>
          </a:solidFill>
          <a:prstDash val="solid"/>
        </a:ln>
        <a:effectLst/>
      </c:spPr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793750</xdr:colOff>
      <xdr:row>14</xdr:row>
      <xdr:rowOff>107950</xdr:rowOff>
    </xdr:from>
    <xdr:to>
      <xdr:col>7</xdr:col>
      <xdr:colOff>323850</xdr:colOff>
      <xdr:row>28</xdr:row>
      <xdr:rowOff>184150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514350</xdr:colOff>
      <xdr:row>16</xdr:row>
      <xdr:rowOff>12700</xdr:rowOff>
    </xdr:from>
    <xdr:to>
      <xdr:col>14</xdr:col>
      <xdr:colOff>590550</xdr:colOff>
      <xdr:row>30</xdr:row>
      <xdr:rowOff>88900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781050</xdr:colOff>
      <xdr:row>18</xdr:row>
      <xdr:rowOff>95250</xdr:rowOff>
    </xdr:from>
    <xdr:to>
      <xdr:col>9</xdr:col>
      <xdr:colOff>666750</xdr:colOff>
      <xdr:row>32</xdr:row>
      <xdr:rowOff>171450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M13" sqref="M13"/>
    </sheetView>
  </sheetViews>
  <sheetFormatPr baseColWidth="10" defaultRowHeight="15" x14ac:dyDescent="0"/>
  <cols>
    <col min="6" max="6" width="5.5" bestFit="1" customWidth="1"/>
    <col min="7" max="7" width="6.5" bestFit="1" customWidth="1"/>
    <col min="8" max="8" width="5.5" bestFit="1" customWidth="1"/>
    <col min="9" max="11" width="11.5" bestFit="1" customWidth="1"/>
    <col min="12" max="12" width="13.6640625" style="6" customWidth="1"/>
    <col min="13" max="13" width="11.5" bestFit="1" customWidth="1"/>
  </cols>
  <sheetData>
    <row r="1" spans="1:13" ht="16" thickBot="1">
      <c r="A1" s="1" t="s">
        <v>0</v>
      </c>
      <c r="B1" s="2" t="s">
        <v>1</v>
      </c>
      <c r="C1" s="2" t="s">
        <v>2</v>
      </c>
      <c r="D1" s="2" t="s">
        <v>3</v>
      </c>
      <c r="E1" s="10" t="s">
        <v>4</v>
      </c>
      <c r="F1" s="12" t="s">
        <v>5</v>
      </c>
      <c r="G1" s="9"/>
      <c r="H1" s="9"/>
      <c r="I1" s="8"/>
      <c r="J1" s="8"/>
      <c r="K1" s="8"/>
      <c r="L1" s="7"/>
      <c r="M1" s="8"/>
    </row>
    <row r="2" spans="1:13" ht="16" thickBot="1">
      <c r="A2" s="3">
        <v>0</v>
      </c>
      <c r="B2" s="4">
        <v>14.6</v>
      </c>
      <c r="C2" s="4">
        <v>14.1</v>
      </c>
      <c r="D2" s="4">
        <v>13.5</v>
      </c>
      <c r="E2" s="11">
        <v>14</v>
      </c>
      <c r="F2" s="13">
        <v>0</v>
      </c>
      <c r="G2" s="9">
        <f>B2-14.6</f>
        <v>0</v>
      </c>
      <c r="H2" s="9">
        <f>C2-14.1</f>
        <v>0</v>
      </c>
      <c r="I2" s="8"/>
      <c r="J2" s="8"/>
      <c r="K2" s="8"/>
      <c r="L2" s="7"/>
      <c r="M2" s="8"/>
    </row>
    <row r="3" spans="1:13" ht="16" thickBot="1">
      <c r="A3" s="3">
        <v>2</v>
      </c>
      <c r="B3" s="4">
        <v>19.100000000000001</v>
      </c>
      <c r="C3" s="4">
        <v>14.1</v>
      </c>
      <c r="D3" s="4">
        <v>13.6</v>
      </c>
      <c r="E3" s="11">
        <v>14</v>
      </c>
      <c r="F3" s="13">
        <v>120</v>
      </c>
      <c r="G3" s="9">
        <f t="shared" ref="G3:G12" si="0">B3-14.6</f>
        <v>4.5000000000000018</v>
      </c>
      <c r="H3" s="9">
        <f t="shared" ref="H3:H12" si="1">C3-14.1</f>
        <v>0</v>
      </c>
      <c r="I3" s="8">
        <f>H3/G3</f>
        <v>0</v>
      </c>
      <c r="J3" s="8">
        <f>I3/1.772453851</f>
        <v>0</v>
      </c>
      <c r="K3" s="8"/>
      <c r="L3" s="7"/>
      <c r="M3" s="8"/>
    </row>
    <row r="4" spans="1:13" ht="16" thickBot="1">
      <c r="A4" s="3">
        <v>4</v>
      </c>
      <c r="B4" s="4">
        <v>20.9</v>
      </c>
      <c r="C4" s="4">
        <v>14.3</v>
      </c>
      <c r="D4" s="4">
        <v>13.6</v>
      </c>
      <c r="E4" s="11">
        <v>14.2</v>
      </c>
      <c r="F4" s="13">
        <v>240</v>
      </c>
      <c r="G4" s="9">
        <f t="shared" si="0"/>
        <v>6.2999999999999989</v>
      </c>
      <c r="H4" s="9">
        <f t="shared" si="1"/>
        <v>0.20000000000000107</v>
      </c>
      <c r="I4" s="8">
        <f t="shared" ref="I4:I12" si="2">H4/G4</f>
        <v>3.1746031746031918E-2</v>
      </c>
      <c r="J4" s="8">
        <f t="shared" ref="J4:K12" si="3">I4/1.772453851</f>
        <v>1.7910780429132831E-2</v>
      </c>
      <c r="K4" s="8">
        <v>1.3061748338530601</v>
      </c>
      <c r="L4" s="7">
        <f>0.02*0.02/(4*K4*K4*F4)</f>
        <v>2.4422275970069223E-7</v>
      </c>
      <c r="M4" s="8">
        <f>2*116.185*(L4*F4/3.1415926)^(0.5)/G4</f>
        <v>0.15931741969639937</v>
      </c>
    </row>
    <row r="5" spans="1:13" ht="16" thickBot="1">
      <c r="A5" s="3">
        <v>6</v>
      </c>
      <c r="B5" s="4">
        <v>22.3</v>
      </c>
      <c r="C5" s="4">
        <v>14.5</v>
      </c>
      <c r="D5" s="4">
        <v>13.7</v>
      </c>
      <c r="E5" s="11">
        <v>14.5</v>
      </c>
      <c r="F5" s="13">
        <v>360</v>
      </c>
      <c r="G5" s="9">
        <f t="shared" si="0"/>
        <v>7.7000000000000011</v>
      </c>
      <c r="H5" s="9">
        <f t="shared" si="1"/>
        <v>0.40000000000000036</v>
      </c>
      <c r="I5" s="8">
        <f t="shared" si="2"/>
        <v>5.1948051948051986E-2</v>
      </c>
      <c r="J5" s="8">
        <f t="shared" si="3"/>
        <v>2.9308549793126311E-2</v>
      </c>
      <c r="K5" s="8">
        <v>1.16548105699316</v>
      </c>
      <c r="L5" s="7">
        <f t="shared" ref="L5:L12" si="4">0.02*0.02/(4*K5*K5*F5)</f>
        <v>2.0449705635539983E-7</v>
      </c>
      <c r="M5" s="8">
        <f t="shared" ref="M5:M12" si="5">2*116.185*(L5*F5/3.1415926)^(0.5)/G5</f>
        <v>0.14608619618942584</v>
      </c>
    </row>
    <row r="6" spans="1:13" ht="16" thickBot="1">
      <c r="A6" s="3">
        <v>8</v>
      </c>
      <c r="B6" s="4">
        <v>23.5</v>
      </c>
      <c r="C6" s="4">
        <v>14.9</v>
      </c>
      <c r="D6" s="4">
        <v>13.8</v>
      </c>
      <c r="E6" s="11">
        <v>15</v>
      </c>
      <c r="F6" s="13">
        <v>480</v>
      </c>
      <c r="G6" s="9">
        <f t="shared" si="0"/>
        <v>8.9</v>
      </c>
      <c r="H6" s="9">
        <f t="shared" si="1"/>
        <v>0.80000000000000071</v>
      </c>
      <c r="I6" s="8">
        <f t="shared" si="2"/>
        <v>8.9887640449438283E-2</v>
      </c>
      <c r="J6" s="8">
        <f t="shared" si="3"/>
        <v>5.0713670428555645E-2</v>
      </c>
      <c r="K6" s="8">
        <v>0.99709235537290297</v>
      </c>
      <c r="L6" s="7">
        <f t="shared" si="4"/>
        <v>2.0955015648629027E-7</v>
      </c>
      <c r="M6" s="8">
        <f t="shared" si="5"/>
        <v>0.14773375348733334</v>
      </c>
    </row>
    <row r="7" spans="1:13" ht="16" thickBot="1">
      <c r="A7" s="3">
        <v>10</v>
      </c>
      <c r="B7" s="4">
        <v>24.5</v>
      </c>
      <c r="C7" s="4">
        <v>15.4</v>
      </c>
      <c r="D7" s="4">
        <v>13.8</v>
      </c>
      <c r="E7" s="11">
        <v>15.4</v>
      </c>
      <c r="F7" s="13">
        <v>600</v>
      </c>
      <c r="G7" s="9">
        <f t="shared" si="0"/>
        <v>9.9</v>
      </c>
      <c r="H7" s="9">
        <f t="shared" si="1"/>
        <v>1.3000000000000007</v>
      </c>
      <c r="I7" s="8">
        <f t="shared" si="2"/>
        <v>0.13131313131313138</v>
      </c>
      <c r="J7" s="8">
        <f t="shared" si="3"/>
        <v>7.4085500865958165E-2</v>
      </c>
      <c r="K7" s="8">
        <v>0.87201305920913696</v>
      </c>
      <c r="L7" s="7">
        <f t="shared" si="4"/>
        <v>2.1918093322108921E-7</v>
      </c>
      <c r="M7" s="8">
        <f t="shared" si="5"/>
        <v>0.1518612400279683</v>
      </c>
    </row>
    <row r="8" spans="1:13" ht="16" thickBot="1">
      <c r="A8" s="3">
        <v>12</v>
      </c>
      <c r="B8" s="4">
        <v>25.4</v>
      </c>
      <c r="C8" s="4">
        <v>15.9</v>
      </c>
      <c r="D8" s="4">
        <v>13.9</v>
      </c>
      <c r="E8" s="11">
        <v>16.399999999999999</v>
      </c>
      <c r="F8" s="13">
        <v>720</v>
      </c>
      <c r="G8" s="9">
        <f t="shared" si="0"/>
        <v>10.799999999999999</v>
      </c>
      <c r="H8" s="9">
        <f t="shared" si="1"/>
        <v>1.8000000000000007</v>
      </c>
      <c r="I8" s="8">
        <f t="shared" si="2"/>
        <v>0.16666666666666674</v>
      </c>
      <c r="J8" s="8">
        <f t="shared" si="3"/>
        <v>9.4031597252946894E-2</v>
      </c>
      <c r="K8" s="8">
        <v>0.78905733916436704</v>
      </c>
      <c r="L8" s="7">
        <f t="shared" si="4"/>
        <v>2.2307473014707788E-7</v>
      </c>
      <c r="M8" s="8">
        <f t="shared" si="5"/>
        <v>0.15384125220392267</v>
      </c>
    </row>
    <row r="9" spans="1:13" ht="16" thickBot="1">
      <c r="A9" s="3">
        <v>14</v>
      </c>
      <c r="B9" s="4">
        <v>26.3</v>
      </c>
      <c r="C9" s="4">
        <v>16.3</v>
      </c>
      <c r="D9" s="4">
        <v>13.9</v>
      </c>
      <c r="E9" s="11">
        <v>16.399999999999999</v>
      </c>
      <c r="F9" s="13">
        <v>840</v>
      </c>
      <c r="G9" s="9">
        <f t="shared" si="0"/>
        <v>11.700000000000001</v>
      </c>
      <c r="H9" s="9">
        <f t="shared" si="1"/>
        <v>2.2000000000000011</v>
      </c>
      <c r="I9" s="8">
        <f t="shared" si="2"/>
        <v>0.18803418803418812</v>
      </c>
      <c r="J9" s="8">
        <f t="shared" si="3"/>
        <v>0.10608693023409392</v>
      </c>
      <c r="K9" s="8">
        <v>0.74567708460972204</v>
      </c>
      <c r="L9" s="7">
        <f t="shared" si="4"/>
        <v>2.1410120911708257E-7</v>
      </c>
      <c r="M9" s="8">
        <f t="shared" si="5"/>
        <v>0.15026867831600979</v>
      </c>
    </row>
    <row r="10" spans="1:13" ht="16" thickBot="1">
      <c r="A10" s="3">
        <v>16</v>
      </c>
      <c r="B10" s="4">
        <v>27.1</v>
      </c>
      <c r="C10" s="4">
        <v>16.8</v>
      </c>
      <c r="D10" s="4">
        <v>14</v>
      </c>
      <c r="E10" s="11">
        <v>16.899999999999999</v>
      </c>
      <c r="F10" s="13">
        <v>960</v>
      </c>
      <c r="G10" s="9">
        <f t="shared" si="0"/>
        <v>12.500000000000002</v>
      </c>
      <c r="H10" s="9">
        <f t="shared" si="1"/>
        <v>2.7000000000000011</v>
      </c>
      <c r="I10" s="8">
        <f t="shared" si="2"/>
        <v>0.21600000000000005</v>
      </c>
      <c r="J10" s="8">
        <f t="shared" si="3"/>
        <v>0.12186495003981915</v>
      </c>
      <c r="K10" s="8">
        <v>0.69454874775013198</v>
      </c>
      <c r="L10" s="7">
        <f t="shared" si="4"/>
        <v>2.1593512961494624E-7</v>
      </c>
      <c r="M10" s="8">
        <f t="shared" si="5"/>
        <v>0.15100536579681531</v>
      </c>
    </row>
    <row r="11" spans="1:13" ht="16" thickBot="1">
      <c r="A11" s="3">
        <v>18</v>
      </c>
      <c r="B11" s="4">
        <v>27.9</v>
      </c>
      <c r="C11" s="4">
        <v>17.2</v>
      </c>
      <c r="D11" s="4">
        <v>14.1</v>
      </c>
      <c r="E11" s="11">
        <v>17.399999999999999</v>
      </c>
      <c r="F11" s="13">
        <v>1080</v>
      </c>
      <c r="G11" s="9">
        <f t="shared" si="0"/>
        <v>13.299999999999999</v>
      </c>
      <c r="H11" s="9">
        <f t="shared" si="1"/>
        <v>3.0999999999999996</v>
      </c>
      <c r="I11" s="8">
        <f t="shared" si="2"/>
        <v>0.23308270676691728</v>
      </c>
      <c r="J11" s="8">
        <f t="shared" si="3"/>
        <v>0.13150283525600084</v>
      </c>
      <c r="K11" s="8">
        <v>0.66587318703027099</v>
      </c>
      <c r="L11" s="7">
        <f t="shared" si="4"/>
        <v>2.0883014490221912E-7</v>
      </c>
      <c r="M11" s="8">
        <f t="shared" si="5"/>
        <v>0.14803416454916332</v>
      </c>
    </row>
    <row r="12" spans="1:13" ht="16" thickBot="1">
      <c r="A12" s="3">
        <v>20</v>
      </c>
      <c r="B12" s="4">
        <v>28.6</v>
      </c>
      <c r="C12" s="4">
        <v>17.7</v>
      </c>
      <c r="D12" s="4">
        <v>14.1</v>
      </c>
      <c r="E12" s="11">
        <v>17.899999999999999</v>
      </c>
      <c r="F12" s="13">
        <v>1200</v>
      </c>
      <c r="G12" s="9">
        <f t="shared" si="0"/>
        <v>14.000000000000002</v>
      </c>
      <c r="H12" s="9">
        <f t="shared" si="1"/>
        <v>3.5999999999999996</v>
      </c>
      <c r="I12" s="8">
        <f t="shared" si="2"/>
        <v>0.25714285714285706</v>
      </c>
      <c r="J12" s="8">
        <f t="shared" si="3"/>
        <v>0.1450773214759751</v>
      </c>
      <c r="K12" s="8">
        <v>0.628190043334096</v>
      </c>
      <c r="L12" s="7">
        <f t="shared" si="4"/>
        <v>2.1117215731196212E-7</v>
      </c>
      <c r="M12" s="8">
        <f t="shared" si="5"/>
        <v>0.14906855478609671</v>
      </c>
    </row>
    <row r="13" spans="1:13">
      <c r="L13" s="6">
        <v>2.1672936409519499E-7</v>
      </c>
      <c r="M13" s="5">
        <v>0.15080184722812601</v>
      </c>
    </row>
  </sheetData>
  <phoneticPr fontId="5" type="noConversion"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力硕 刘</dc:creator>
  <cp:lastModifiedBy>力硕 刘</cp:lastModifiedBy>
  <dcterms:created xsi:type="dcterms:W3CDTF">2014-11-19T13:01:53Z</dcterms:created>
  <dcterms:modified xsi:type="dcterms:W3CDTF">2014-11-19T16:37:34Z</dcterms:modified>
</cp:coreProperties>
</file>