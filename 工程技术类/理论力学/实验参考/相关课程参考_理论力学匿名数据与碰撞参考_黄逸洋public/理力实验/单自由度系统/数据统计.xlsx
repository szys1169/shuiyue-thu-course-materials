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activeTab="6"/>
  </bookViews>
  <sheets>
    <sheet name="0.6" sheetId="1" r:id="rId1"/>
    <sheet name="0.8" sheetId="2" r:id="rId2"/>
    <sheet name="1.0" sheetId="3" r:id="rId3"/>
    <sheet name="1" sheetId="4" r:id="rId4"/>
    <sheet name="2" sheetId="5" r:id="rId5"/>
    <sheet name="3" sheetId="6" r:id="rId6"/>
    <sheet name="汇总" sheetId="7" r:id="rId7"/>
  </sheets>
  <calcPr calcId="124519"/>
</workbook>
</file>

<file path=xl/calcChain.xml><?xml version="1.0" encoding="utf-8"?>
<calcChain xmlns="http://schemas.openxmlformats.org/spreadsheetml/2006/main">
  <c r="I29" i="6"/>
  <c r="J29"/>
  <c r="K29" s="1"/>
  <c r="J31"/>
  <c r="K31" s="1"/>
  <c r="J30"/>
  <c r="K30" s="1"/>
  <c r="I30"/>
  <c r="I31"/>
  <c r="J34" i="5"/>
  <c r="K35"/>
  <c r="K36"/>
  <c r="K34"/>
  <c r="J35"/>
  <c r="J36"/>
  <c r="G12" i="4"/>
  <c r="G13"/>
  <c r="G14"/>
  <c r="G15"/>
  <c r="G16"/>
  <c r="G11"/>
</calcChain>
</file>

<file path=xl/sharedStrings.xml><?xml version="1.0" encoding="utf-8"?>
<sst xmlns="http://schemas.openxmlformats.org/spreadsheetml/2006/main" count="98" uniqueCount="67">
  <si>
    <t>频率</t>
    <phoneticPr fontId="1" type="noConversion"/>
  </si>
  <si>
    <t>幅值比</t>
    <phoneticPr fontId="1" type="noConversion"/>
  </si>
  <si>
    <t>相位差</t>
    <phoneticPr fontId="1" type="noConversion"/>
  </si>
  <si>
    <t xml:space="preserve"> </t>
    <phoneticPr fontId="1" type="noConversion"/>
  </si>
  <si>
    <t>周期数</t>
    <phoneticPr fontId="1" type="noConversion"/>
  </si>
  <si>
    <t>周期</t>
    <phoneticPr fontId="1" type="noConversion"/>
  </si>
  <si>
    <t>频率</t>
    <phoneticPr fontId="1" type="noConversion"/>
  </si>
  <si>
    <t>X0</t>
    <phoneticPr fontId="1" type="noConversion"/>
  </si>
  <si>
    <t>T0</t>
    <phoneticPr fontId="1" type="noConversion"/>
  </si>
  <si>
    <t>X</t>
    <phoneticPr fontId="1" type="noConversion"/>
  </si>
  <si>
    <t>T</t>
    <phoneticPr fontId="1" type="noConversion"/>
  </si>
  <si>
    <t>类型</t>
  </si>
  <si>
    <t>类型</t>
    <phoneticPr fontId="1" type="noConversion"/>
  </si>
  <si>
    <t>峰-峰</t>
  </si>
  <si>
    <t>峰-峰</t>
    <phoneticPr fontId="1" type="noConversion"/>
  </si>
  <si>
    <t>谷-谷</t>
  </si>
  <si>
    <t>谷-谷</t>
    <phoneticPr fontId="1" type="noConversion"/>
  </si>
  <si>
    <t>0.6A</t>
  </si>
  <si>
    <t>0.6A</t>
    <phoneticPr fontId="1" type="noConversion"/>
  </si>
  <si>
    <t>0.8A</t>
  </si>
  <si>
    <t>0.8A</t>
    <phoneticPr fontId="1" type="noConversion"/>
  </si>
  <si>
    <t>1.0A</t>
  </si>
  <si>
    <t>1.0A</t>
    <phoneticPr fontId="1" type="noConversion"/>
  </si>
  <si>
    <r>
      <t>周期T</t>
    </r>
    <r>
      <rPr>
        <vertAlign val="subscript"/>
        <sz val="9"/>
        <color rgb="FF000000"/>
        <rFont val="微软雅黑"/>
        <family val="2"/>
        <charset val="134"/>
      </rPr>
      <t>d</t>
    </r>
    <r>
      <rPr>
        <sz val="9"/>
        <color rgb="FF000000"/>
        <rFont val="微软雅黑"/>
        <family val="2"/>
        <charset val="134"/>
      </rPr>
      <t>/s</t>
    </r>
  </si>
  <si>
    <r>
      <t>频率f</t>
    </r>
    <r>
      <rPr>
        <vertAlign val="subscript"/>
        <sz val="9"/>
        <color rgb="FF000000"/>
        <rFont val="微软雅黑"/>
        <family val="2"/>
        <charset val="134"/>
      </rPr>
      <t>d</t>
    </r>
    <r>
      <rPr>
        <sz val="9"/>
        <color rgb="FF000000"/>
        <rFont val="微软雅黑"/>
        <family val="2"/>
        <charset val="134"/>
      </rPr>
      <t>/Hz</t>
    </r>
  </si>
  <si>
    <r>
      <t>减幅系数</t>
    </r>
    <r>
      <rPr>
        <sz val="10.5"/>
        <color theme="1"/>
        <rFont val="宋体"/>
        <family val="3"/>
        <charset val="134"/>
      </rPr>
      <t>δ</t>
    </r>
  </si>
  <si>
    <t>阻尼比ζ</t>
  </si>
  <si>
    <t>0.8A</t>
    <phoneticPr fontId="1" type="noConversion"/>
  </si>
  <si>
    <t>电流/A</t>
    <phoneticPr fontId="1" type="noConversion"/>
  </si>
  <si>
    <t>0.6A</t>
    <phoneticPr fontId="1" type="noConversion"/>
  </si>
  <si>
    <t>1.0A</t>
    <phoneticPr fontId="1" type="noConversion"/>
  </si>
  <si>
    <t>频率</t>
    <phoneticPr fontId="1" type="noConversion"/>
  </si>
  <si>
    <t>幅值比</t>
    <phoneticPr fontId="1" type="noConversion"/>
  </si>
  <si>
    <t>相位差</t>
    <phoneticPr fontId="1" type="noConversion"/>
  </si>
  <si>
    <t>0.6A幅值比</t>
    <phoneticPr fontId="1" type="noConversion"/>
  </si>
  <si>
    <t>0.8A幅值比</t>
    <phoneticPr fontId="1" type="noConversion"/>
  </si>
  <si>
    <t>1.0A幅值比</t>
    <phoneticPr fontId="1" type="noConversion"/>
  </si>
  <si>
    <t>记录值</t>
    <phoneticPr fontId="1" type="noConversion"/>
  </si>
  <si>
    <t>fm/Hz</t>
    <phoneticPr fontId="1" type="noConversion"/>
  </si>
  <si>
    <t>Bm/(mm/N)</t>
    <phoneticPr fontId="1" type="noConversion"/>
  </si>
  <si>
    <t>B0(mm/N)</t>
    <phoneticPr fontId="1" type="noConversion"/>
  </si>
  <si>
    <t>f1/Hz</t>
    <phoneticPr fontId="1" type="noConversion"/>
  </si>
  <si>
    <t>f2/Hz</t>
    <phoneticPr fontId="1" type="noConversion"/>
  </si>
  <si>
    <t>fn/Hz</t>
    <phoneticPr fontId="1" type="noConversion"/>
  </si>
  <si>
    <t>ζ1</t>
    <phoneticPr fontId="1" type="noConversion"/>
  </si>
  <si>
    <t>ζ2</t>
    <phoneticPr fontId="1" type="noConversion"/>
  </si>
  <si>
    <t>计算值</t>
    <phoneticPr fontId="1" type="noConversion"/>
  </si>
  <si>
    <t>项目</t>
    <phoneticPr fontId="1" type="noConversion"/>
  </si>
  <si>
    <t>0.6A</t>
    <phoneticPr fontId="1" type="noConversion"/>
  </si>
  <si>
    <t>0.8A</t>
    <phoneticPr fontId="1" type="noConversion"/>
  </si>
  <si>
    <t>1.0A</t>
    <phoneticPr fontId="1" type="noConversion"/>
  </si>
  <si>
    <t>0.6A相位差</t>
    <phoneticPr fontId="1" type="noConversion"/>
  </si>
  <si>
    <t>0.8A相位差</t>
    <phoneticPr fontId="1" type="noConversion"/>
  </si>
  <si>
    <t>1.0A相位差</t>
    <phoneticPr fontId="1" type="noConversion"/>
  </si>
  <si>
    <t>电流/A</t>
    <phoneticPr fontId="1" type="noConversion"/>
  </si>
  <si>
    <t>φ1/°</t>
    <phoneticPr fontId="1" type="noConversion"/>
  </si>
  <si>
    <t>φ2/°</t>
    <phoneticPr fontId="1" type="noConversion"/>
  </si>
  <si>
    <t>ζ</t>
    <phoneticPr fontId="1" type="noConversion"/>
  </si>
  <si>
    <t>Δf/Hz</t>
    <phoneticPr fontId="1" type="noConversion"/>
  </si>
  <si>
    <t>Δφ/°</t>
    <phoneticPr fontId="1" type="noConversion"/>
  </si>
  <si>
    <t>0.6A</t>
    <phoneticPr fontId="1" type="noConversion"/>
  </si>
  <si>
    <t>1.0A</t>
    <phoneticPr fontId="1" type="noConversion"/>
  </si>
  <si>
    <t>0.8A</t>
    <phoneticPr fontId="1" type="noConversion"/>
  </si>
  <si>
    <t>实验1</t>
    <phoneticPr fontId="1" type="noConversion"/>
  </si>
  <si>
    <t>实验2（1）</t>
    <phoneticPr fontId="1" type="noConversion"/>
  </si>
  <si>
    <t>实验2（2）</t>
    <phoneticPr fontId="1" type="noConversion"/>
  </si>
  <si>
    <t>实验3</t>
    <phoneticPr fontId="1" type="noConversion"/>
  </si>
</sst>
</file>

<file path=xl/styles.xml><?xml version="1.0" encoding="utf-8"?>
<styleSheet xmlns="http://schemas.openxmlformats.org/spreadsheetml/2006/main">
  <numFmts count="4">
    <numFmt numFmtId="176" formatCode="0.000_ "/>
    <numFmt numFmtId="177" formatCode="0.0000_ "/>
    <numFmt numFmtId="178" formatCode="0.00_ "/>
    <numFmt numFmtId="179" formatCode="0.0_ "/>
  </numFmts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Calibri"/>
      <family val="2"/>
    </font>
    <font>
      <sz val="9"/>
      <color rgb="FF000000"/>
      <name val="微软雅黑"/>
      <family val="2"/>
      <charset val="134"/>
    </font>
    <font>
      <vertAlign val="subscript"/>
      <sz val="9"/>
      <color rgb="FF000000"/>
      <name val="微软雅黑"/>
      <family val="2"/>
      <charset val="134"/>
    </font>
    <font>
      <sz val="10.5"/>
      <color theme="1"/>
      <name val="宋体"/>
      <family val="3"/>
      <charset val="134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2" fillId="0" borderId="2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76" fontId="2" fillId="0" borderId="13" xfId="0" applyNumberFormat="1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178" fontId="7" fillId="0" borderId="9" xfId="0" applyNumberFormat="1" applyFont="1" applyBorder="1" applyAlignment="1">
      <alignment horizontal="center" vertical="center"/>
    </xf>
    <xf numFmtId="177" fontId="0" fillId="0" borderId="7" xfId="0" applyNumberFormat="1" applyBorder="1">
      <alignment vertical="center"/>
    </xf>
    <xf numFmtId="177" fontId="0" fillId="0" borderId="10" xfId="0" applyNumberFormat="1" applyBorder="1">
      <alignment vertical="center"/>
    </xf>
    <xf numFmtId="178" fontId="7" fillId="0" borderId="1" xfId="0" applyNumberFormat="1" applyFont="1" applyBorder="1" applyAlignment="1">
      <alignment horizontal="center" vertical="center"/>
    </xf>
    <xf numFmtId="179" fontId="8" fillId="0" borderId="8" xfId="0" applyNumberFormat="1" applyFont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 sz="2000">
                <a:latin typeface="微软雅黑" pitchFamily="34" charset="-122"/>
                <a:ea typeface="微软雅黑" pitchFamily="34" charset="-122"/>
              </a:defRPr>
            </a:pPr>
            <a:r>
              <a:rPr lang="zh-CN" altLang="en-US" sz="2000">
                <a:latin typeface="微软雅黑" pitchFamily="34" charset="-122"/>
                <a:ea typeface="微软雅黑" pitchFamily="34" charset="-122"/>
              </a:rPr>
              <a:t>强迫振动幅频特性曲线</a:t>
            </a:r>
          </a:p>
        </c:rich>
      </c:tx>
      <c:layout>
        <c:manualLayout>
          <c:xMode val="edge"/>
          <c:yMode val="edge"/>
          <c:x val="0.42270531400966188"/>
          <c:y val="8.658008658008659E-2"/>
        </c:manualLayout>
      </c:layout>
      <c:overlay val="1"/>
    </c:title>
    <c:plotArea>
      <c:layout/>
      <c:scatterChart>
        <c:scatterStyle val="smoothMarker"/>
        <c:ser>
          <c:idx val="0"/>
          <c:order val="0"/>
          <c:tx>
            <c:strRef>
              <c:f>'2'!$K$3</c:f>
              <c:strCache>
                <c:ptCount val="1"/>
                <c:pt idx="0">
                  <c:v>0.6A幅值比</c:v>
                </c:pt>
              </c:strCache>
            </c:strRef>
          </c:tx>
          <c:spPr>
            <a:ln w="19050">
              <a:solidFill>
                <a:schemeClr val="tx2">
                  <a:lumMod val="75000"/>
                </a:schemeClr>
              </a:solidFill>
              <a:prstDash val="lgDashDot"/>
            </a:ln>
          </c:spPr>
          <c:xVal>
            <c:numRef>
              <c:f>'2'!$J$4:$J$20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</c:numCache>
            </c:numRef>
          </c:xVal>
          <c:yVal>
            <c:numRef>
              <c:f>'2'!$K$4:$K$20</c:f>
              <c:numCache>
                <c:formatCode>General</c:formatCode>
                <c:ptCount val="17"/>
                <c:pt idx="0">
                  <c:v>0.17899999999999999</c:v>
                </c:pt>
                <c:pt idx="1">
                  <c:v>0.19500000000000001</c:v>
                </c:pt>
                <c:pt idx="2">
                  <c:v>0.24399999999999999</c:v>
                </c:pt>
                <c:pt idx="3">
                  <c:v>0.27700000000000002</c:v>
                </c:pt>
                <c:pt idx="4">
                  <c:v>0.38700000000000001</c:v>
                </c:pt>
                <c:pt idx="5">
                  <c:v>0.71699999999999997</c:v>
                </c:pt>
                <c:pt idx="6">
                  <c:v>1.41</c:v>
                </c:pt>
                <c:pt idx="7">
                  <c:v>0.53800000000000003</c:v>
                </c:pt>
                <c:pt idx="8">
                  <c:v>0.28799999999999998</c:v>
                </c:pt>
                <c:pt idx="9">
                  <c:v>0.188</c:v>
                </c:pt>
                <c:pt idx="10">
                  <c:v>0.13600000000000001</c:v>
                </c:pt>
                <c:pt idx="11">
                  <c:v>0.105</c:v>
                </c:pt>
                <c:pt idx="12">
                  <c:v>8.4000000000000005E-2</c:v>
                </c:pt>
                <c:pt idx="13">
                  <c:v>6.9000000000000006E-2</c:v>
                </c:pt>
                <c:pt idx="14">
                  <c:v>3.3000000000000002E-2</c:v>
                </c:pt>
                <c:pt idx="15">
                  <c:v>1.9E-2</c:v>
                </c:pt>
                <c:pt idx="16">
                  <c:v>1.2999999999999999E-2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'2'!$L$3</c:f>
              <c:strCache>
                <c:ptCount val="1"/>
                <c:pt idx="0">
                  <c:v>0.8A幅值比</c:v>
                </c:pt>
              </c:strCache>
            </c:strRef>
          </c:tx>
          <c:spPr>
            <a:ln w="19050">
              <a:solidFill>
                <a:schemeClr val="accent2">
                  <a:lumMod val="75000"/>
                </a:schemeClr>
              </a:solidFill>
            </a:ln>
          </c:spPr>
          <c:marker>
            <c:symbol val="triangle"/>
            <c:size val="7"/>
          </c:marker>
          <c:xVal>
            <c:numRef>
              <c:f>'2'!$J$4:$J$20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</c:numCache>
            </c:numRef>
          </c:xVal>
          <c:yVal>
            <c:numRef>
              <c:f>'2'!$L$4:$L$20</c:f>
              <c:numCache>
                <c:formatCode>General</c:formatCode>
                <c:ptCount val="17"/>
                <c:pt idx="0">
                  <c:v>0.17899999999999999</c:v>
                </c:pt>
                <c:pt idx="1">
                  <c:v>0.19600000000000001</c:v>
                </c:pt>
                <c:pt idx="2">
                  <c:v>0.224</c:v>
                </c:pt>
                <c:pt idx="3">
                  <c:v>0.27500000000000002</c:v>
                </c:pt>
                <c:pt idx="4">
                  <c:v>0.38</c:v>
                </c:pt>
                <c:pt idx="5">
                  <c:v>0.65500000000000003</c:v>
                </c:pt>
                <c:pt idx="6">
                  <c:v>1.048</c:v>
                </c:pt>
                <c:pt idx="7">
                  <c:v>0.505</c:v>
                </c:pt>
                <c:pt idx="8">
                  <c:v>0.28100000000000003</c:v>
                </c:pt>
                <c:pt idx="9">
                  <c:v>0.186</c:v>
                </c:pt>
                <c:pt idx="10">
                  <c:v>0.13600000000000001</c:v>
                </c:pt>
                <c:pt idx="11">
                  <c:v>0.104</c:v>
                </c:pt>
                <c:pt idx="12">
                  <c:v>8.4000000000000005E-2</c:v>
                </c:pt>
                <c:pt idx="13">
                  <c:v>6.9000000000000006E-2</c:v>
                </c:pt>
                <c:pt idx="14">
                  <c:v>3.3000000000000002E-2</c:v>
                </c:pt>
                <c:pt idx="15">
                  <c:v>0.02</c:v>
                </c:pt>
                <c:pt idx="16">
                  <c:v>1.2999999999999999E-2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'2'!$M$3</c:f>
              <c:strCache>
                <c:ptCount val="1"/>
                <c:pt idx="0">
                  <c:v>1.0A幅值比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  <a:prstDash val="sysDash"/>
            </a:ln>
          </c:spPr>
          <c:marker>
            <c:symbol val="star"/>
            <c:size val="7"/>
          </c:marker>
          <c:xVal>
            <c:numRef>
              <c:f>'2'!$J$4:$J$20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</c:numCache>
            </c:numRef>
          </c:xVal>
          <c:yVal>
            <c:numRef>
              <c:f>'2'!$M$4:$M$20</c:f>
              <c:numCache>
                <c:formatCode>General</c:formatCode>
                <c:ptCount val="17"/>
                <c:pt idx="0">
                  <c:v>0.17899999999999999</c:v>
                </c:pt>
                <c:pt idx="1">
                  <c:v>0.19500000000000001</c:v>
                </c:pt>
                <c:pt idx="2">
                  <c:v>0.222</c:v>
                </c:pt>
                <c:pt idx="3">
                  <c:v>0.27100000000000002</c:v>
                </c:pt>
                <c:pt idx="4">
                  <c:v>0.36599999999999999</c:v>
                </c:pt>
                <c:pt idx="5">
                  <c:v>0.57999999999999996</c:v>
                </c:pt>
                <c:pt idx="6">
                  <c:v>0.79200000000000004</c:v>
                </c:pt>
                <c:pt idx="7">
                  <c:v>0.46100000000000002</c:v>
                </c:pt>
                <c:pt idx="8">
                  <c:v>0.27200000000000002</c:v>
                </c:pt>
                <c:pt idx="9">
                  <c:v>0.183</c:v>
                </c:pt>
                <c:pt idx="10">
                  <c:v>0.13500000000000001</c:v>
                </c:pt>
                <c:pt idx="11">
                  <c:v>0.104</c:v>
                </c:pt>
                <c:pt idx="12">
                  <c:v>8.4000000000000005E-2</c:v>
                </c:pt>
                <c:pt idx="13">
                  <c:v>6.9000000000000006E-2</c:v>
                </c:pt>
                <c:pt idx="14">
                  <c:v>3.3000000000000002E-2</c:v>
                </c:pt>
                <c:pt idx="15">
                  <c:v>0.02</c:v>
                </c:pt>
                <c:pt idx="16">
                  <c:v>1.2999999999999999E-2</c:v>
                </c:pt>
              </c:numCache>
            </c:numRef>
          </c:yVal>
          <c:smooth val="1"/>
        </c:ser>
        <c:axId val="65790336"/>
        <c:axId val="65793024"/>
      </c:scatterChart>
      <c:valAx>
        <c:axId val="65790336"/>
        <c:scaling>
          <c:orientation val="minMax"/>
        </c:scaling>
        <c:axPos val="b"/>
        <c:majorGridlines/>
        <c:title>
          <c:tx>
            <c:rich>
              <a:bodyPr anchor="t" anchorCtr="0"/>
              <a:lstStyle/>
              <a:p>
                <a:pPr algn="ctr" rtl="0">
                  <a:defRPr lang="zh-CN" altLang="en-US" sz="1100" b="1" i="0" u="none" strike="noStrike" kern="1200" baseline="0">
                    <a:solidFill>
                      <a:sysClr val="windowText" lastClr="000000"/>
                    </a:solidFill>
                    <a:latin typeface="微软雅黑" pitchFamily="34" charset="-122"/>
                    <a:ea typeface="微软雅黑" pitchFamily="34" charset="-122"/>
                    <a:cs typeface="+mn-cs"/>
                  </a:defRPr>
                </a:pPr>
                <a:r>
                  <a:rPr lang="zh-CN" altLang="en-US" sz="1100" b="1" i="0" u="none" strike="noStrike" kern="1200" baseline="0">
                    <a:solidFill>
                      <a:sysClr val="windowText" lastClr="000000"/>
                    </a:solidFill>
                    <a:latin typeface="微软雅黑" pitchFamily="34" charset="-122"/>
                    <a:ea typeface="微软雅黑" pitchFamily="34" charset="-122"/>
                    <a:cs typeface="+mn-cs"/>
                  </a:rPr>
                  <a:t>频  率  /  H z</a:t>
                </a:r>
              </a:p>
            </c:rich>
          </c:tx>
          <c:layout>
            <c:manualLayout>
              <c:xMode val="edge"/>
              <c:yMode val="edge"/>
              <c:x val="0.75488322111909933"/>
              <c:y val="0.90710743801652882"/>
            </c:manualLayout>
          </c:layout>
        </c:title>
        <c:numFmt formatCode="General" sourceLinked="1"/>
        <c:tickLblPos val="nextTo"/>
        <c:crossAx val="65793024"/>
        <c:crosses val="autoZero"/>
        <c:crossBetween val="midCat"/>
        <c:majorUnit val="2"/>
      </c:valAx>
      <c:valAx>
        <c:axId val="65793024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lang="zh-CN" altLang="en-US" sz="1100" b="1" i="0" u="none" strike="noStrike" kern="1200" baseline="0">
                    <a:solidFill>
                      <a:sysClr val="windowText" lastClr="000000"/>
                    </a:solidFill>
                    <a:latin typeface="微软雅黑" pitchFamily="34" charset="-122"/>
                    <a:ea typeface="微软雅黑" pitchFamily="34" charset="-122"/>
                    <a:cs typeface="+mn-cs"/>
                  </a:defRPr>
                </a:pPr>
                <a:r>
                  <a:rPr lang="zh-CN" altLang="en-US" sz="1100" b="1" i="0" u="none" strike="noStrike" kern="1200" baseline="0">
                    <a:solidFill>
                      <a:sysClr val="windowText" lastClr="000000"/>
                    </a:solidFill>
                    <a:latin typeface="微软雅黑" pitchFamily="34" charset="-122"/>
                    <a:ea typeface="微软雅黑" pitchFamily="34" charset="-122"/>
                    <a:cs typeface="+mn-cs"/>
                  </a:rPr>
                  <a:t>幅  值  比  /  ( m m / N )</a:t>
                </a:r>
              </a:p>
            </c:rich>
          </c:tx>
          <c:layout>
            <c:manualLayout>
              <c:xMode val="edge"/>
              <c:yMode val="edge"/>
              <c:x val="2.6570048309178751E-2"/>
              <c:y val="5.5791110350336695E-2"/>
            </c:manualLayout>
          </c:layout>
        </c:title>
        <c:numFmt formatCode="General" sourceLinked="1"/>
        <c:tickLblPos val="nextTo"/>
        <c:crossAx val="65790336"/>
        <c:crosses val="autoZero"/>
        <c:crossBetween val="midCat"/>
        <c:majorUnit val="0.1"/>
      </c:valAx>
    </c:plotArea>
    <c:legend>
      <c:legendPos val="r"/>
      <c:layout>
        <c:manualLayout>
          <c:xMode val="edge"/>
          <c:yMode val="edge"/>
          <c:x val="0.58111719730685829"/>
          <c:y val="0.26986235811432657"/>
          <c:w val="0.36888280269314172"/>
          <c:h val="0.42978736748815488"/>
        </c:manualLayout>
      </c:layout>
      <c:overlay val="1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title>
      <c:tx>
        <c:rich>
          <a:bodyPr/>
          <a:lstStyle/>
          <a:p>
            <a:pPr>
              <a:defRPr sz="1800">
                <a:latin typeface="微软雅黑" pitchFamily="34" charset="-122"/>
                <a:ea typeface="微软雅黑" pitchFamily="34" charset="-122"/>
              </a:defRPr>
            </a:pPr>
            <a:r>
              <a:rPr lang="zh-CN" sz="1800" b="1" i="0" baseline="0">
                <a:latin typeface="微软雅黑" pitchFamily="34" charset="-122"/>
                <a:ea typeface="微软雅黑" pitchFamily="34" charset="-122"/>
              </a:rPr>
              <a:t>强迫振动</a:t>
            </a:r>
            <a:r>
              <a:rPr lang="zh-CN" altLang="en-US" sz="1800" b="1" i="0" baseline="0">
                <a:latin typeface="微软雅黑" pitchFamily="34" charset="-122"/>
                <a:ea typeface="微软雅黑" pitchFamily="34" charset="-122"/>
              </a:rPr>
              <a:t>相</a:t>
            </a:r>
            <a:r>
              <a:rPr lang="zh-CN" sz="1800" b="1" i="0" baseline="0">
                <a:latin typeface="微软雅黑" pitchFamily="34" charset="-122"/>
                <a:ea typeface="微软雅黑" pitchFamily="34" charset="-122"/>
              </a:rPr>
              <a:t>频特性曲线</a:t>
            </a:r>
            <a:endParaRPr lang="zh-CN" sz="1800">
              <a:latin typeface="微软雅黑" pitchFamily="34" charset="-122"/>
              <a:ea typeface="微软雅黑" pitchFamily="34" charset="-122"/>
            </a:endParaRPr>
          </a:p>
        </c:rich>
      </c:tx>
      <c:layout>
        <c:manualLayout>
          <c:xMode val="edge"/>
          <c:yMode val="edge"/>
          <c:x val="0.48802448161989143"/>
          <c:y val="0.25131436087846576"/>
        </c:manualLayout>
      </c:layout>
      <c:overlay val="1"/>
    </c:title>
    <c:plotArea>
      <c:layout/>
      <c:scatterChart>
        <c:scatterStyle val="smoothMarker"/>
        <c:ser>
          <c:idx val="0"/>
          <c:order val="0"/>
          <c:tx>
            <c:strRef>
              <c:f>'3'!$I$3</c:f>
              <c:strCache>
                <c:ptCount val="1"/>
                <c:pt idx="0">
                  <c:v>0.6A相位差</c:v>
                </c:pt>
              </c:strCache>
            </c:strRef>
          </c:tx>
          <c:spPr>
            <a:ln w="19050">
              <a:prstDash val="lgDashDot"/>
            </a:ln>
          </c:spPr>
          <c:xVal>
            <c:numRef>
              <c:f>'3'!$H$4:$H$20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</c:numCache>
            </c:numRef>
          </c:xVal>
          <c:yVal>
            <c:numRef>
              <c:f>'3'!$I$4:$I$20</c:f>
              <c:numCache>
                <c:formatCode>General</c:formatCode>
                <c:ptCount val="17"/>
                <c:pt idx="0">
                  <c:v>-4.9000000000000004</c:v>
                </c:pt>
                <c:pt idx="1">
                  <c:v>-6.2</c:v>
                </c:pt>
                <c:pt idx="2">
                  <c:v>-7.7</c:v>
                </c:pt>
                <c:pt idx="3">
                  <c:v>-9.9</c:v>
                </c:pt>
                <c:pt idx="4">
                  <c:v>-14.4</c:v>
                </c:pt>
                <c:pt idx="5">
                  <c:v>-27.8</c:v>
                </c:pt>
                <c:pt idx="6">
                  <c:v>-109.6</c:v>
                </c:pt>
                <c:pt idx="7">
                  <c:v>-155.6</c:v>
                </c:pt>
                <c:pt idx="8">
                  <c:v>-165.6</c:v>
                </c:pt>
                <c:pt idx="9">
                  <c:v>-169.6</c:v>
                </c:pt>
                <c:pt idx="10">
                  <c:v>-171.9</c:v>
                </c:pt>
                <c:pt idx="11">
                  <c:v>-173.4</c:v>
                </c:pt>
                <c:pt idx="12">
                  <c:v>-174.6</c:v>
                </c:pt>
                <c:pt idx="13">
                  <c:v>-175.5</c:v>
                </c:pt>
                <c:pt idx="14">
                  <c:v>-178.3</c:v>
                </c:pt>
                <c:pt idx="15">
                  <c:v>-176.9</c:v>
                </c:pt>
                <c:pt idx="16">
                  <c:v>-180.5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'3'!$J$3</c:f>
              <c:strCache>
                <c:ptCount val="1"/>
                <c:pt idx="0">
                  <c:v>0.8A相位差</c:v>
                </c:pt>
              </c:strCache>
            </c:strRef>
          </c:tx>
          <c:marker>
            <c:symbol val="triangle"/>
            <c:size val="7"/>
          </c:marker>
          <c:xVal>
            <c:numRef>
              <c:f>'3'!$H$4:$H$20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</c:numCache>
            </c:numRef>
          </c:xVal>
          <c:yVal>
            <c:numRef>
              <c:f>'3'!$J$4:$J$20</c:f>
              <c:numCache>
                <c:formatCode>General</c:formatCode>
                <c:ptCount val="17"/>
                <c:pt idx="0">
                  <c:v>-5.3</c:v>
                </c:pt>
                <c:pt idx="1">
                  <c:v>-7</c:v>
                </c:pt>
                <c:pt idx="2">
                  <c:v>-9</c:v>
                </c:pt>
                <c:pt idx="3">
                  <c:v>-12.4</c:v>
                </c:pt>
                <c:pt idx="4">
                  <c:v>-18.5</c:v>
                </c:pt>
                <c:pt idx="5">
                  <c:v>-35.200000000000003</c:v>
                </c:pt>
                <c:pt idx="6">
                  <c:v>-101.2</c:v>
                </c:pt>
                <c:pt idx="7">
                  <c:v>-147.80000000000001</c:v>
                </c:pt>
                <c:pt idx="8">
                  <c:v>-160.5</c:v>
                </c:pt>
                <c:pt idx="9">
                  <c:v>-166</c:v>
                </c:pt>
                <c:pt idx="10">
                  <c:v>-169.1</c:v>
                </c:pt>
                <c:pt idx="11">
                  <c:v>-171.1</c:v>
                </c:pt>
                <c:pt idx="12">
                  <c:v>-173.4</c:v>
                </c:pt>
                <c:pt idx="13">
                  <c:v>-173.8</c:v>
                </c:pt>
                <c:pt idx="14">
                  <c:v>-177.2</c:v>
                </c:pt>
                <c:pt idx="15">
                  <c:v>-176.2</c:v>
                </c:pt>
                <c:pt idx="16">
                  <c:v>-179.7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'3'!$K$3</c:f>
              <c:strCache>
                <c:ptCount val="1"/>
                <c:pt idx="0">
                  <c:v>1.0A相位差</c:v>
                </c:pt>
              </c:strCache>
            </c:strRef>
          </c:tx>
          <c:spPr>
            <a:ln w="19050">
              <a:solidFill>
                <a:schemeClr val="accent3">
                  <a:lumMod val="50000"/>
                </a:schemeClr>
              </a:solidFill>
              <a:prstDash val="sysDash"/>
            </a:ln>
          </c:spPr>
          <c:marker>
            <c:symbol val="star"/>
            <c:size val="7"/>
          </c:marker>
          <c:xVal>
            <c:numRef>
              <c:f>'3'!$H$4:$H$20</c:f>
              <c:numCache>
                <c:formatCode>General</c:formatCode>
                <c:ptCount val="17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20</c:v>
                </c:pt>
                <c:pt idx="15">
                  <c:v>25</c:v>
                </c:pt>
                <c:pt idx="16">
                  <c:v>30</c:v>
                </c:pt>
              </c:numCache>
            </c:numRef>
          </c:xVal>
          <c:yVal>
            <c:numRef>
              <c:f>'3'!$K$4:$K$20</c:f>
              <c:numCache>
                <c:formatCode>General</c:formatCode>
                <c:ptCount val="17"/>
                <c:pt idx="0">
                  <c:v>-6.2</c:v>
                </c:pt>
                <c:pt idx="1">
                  <c:v>-8.5</c:v>
                </c:pt>
                <c:pt idx="2">
                  <c:v>-11.1</c:v>
                </c:pt>
                <c:pt idx="3">
                  <c:v>-15.6</c:v>
                </c:pt>
                <c:pt idx="4">
                  <c:v>-23</c:v>
                </c:pt>
                <c:pt idx="5">
                  <c:v>-42.4</c:v>
                </c:pt>
                <c:pt idx="6">
                  <c:v>-95.8</c:v>
                </c:pt>
                <c:pt idx="7">
                  <c:v>-138.6</c:v>
                </c:pt>
                <c:pt idx="8">
                  <c:v>-154.1</c:v>
                </c:pt>
                <c:pt idx="9">
                  <c:v>-162</c:v>
                </c:pt>
                <c:pt idx="10">
                  <c:v>-165.8</c:v>
                </c:pt>
                <c:pt idx="11">
                  <c:v>-168</c:v>
                </c:pt>
                <c:pt idx="12">
                  <c:v>-170</c:v>
                </c:pt>
                <c:pt idx="13">
                  <c:v>-171.4</c:v>
                </c:pt>
                <c:pt idx="14">
                  <c:v>-175.7</c:v>
                </c:pt>
                <c:pt idx="15">
                  <c:v>-175.1</c:v>
                </c:pt>
                <c:pt idx="16">
                  <c:v>-179</c:v>
                </c:pt>
              </c:numCache>
            </c:numRef>
          </c:yVal>
          <c:smooth val="1"/>
        </c:ser>
        <c:axId val="65755776"/>
        <c:axId val="65938176"/>
      </c:scatterChart>
      <c:valAx>
        <c:axId val="65755776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 sz="1100">
                    <a:latin typeface="微软雅黑" pitchFamily="34" charset="-122"/>
                    <a:ea typeface="微软雅黑" pitchFamily="34" charset="-122"/>
                  </a:defRPr>
                </a:pPr>
                <a:r>
                  <a:rPr lang="zh-CN" sz="1100" b="1" i="0" baseline="0">
                    <a:latin typeface="微软雅黑" pitchFamily="34" charset="-122"/>
                    <a:ea typeface="微软雅黑" pitchFamily="34" charset="-122"/>
                  </a:rPr>
                  <a:t>频  率  /  H z</a:t>
                </a:r>
                <a:endParaRPr lang="zh-CN" sz="1100">
                  <a:latin typeface="微软雅黑" pitchFamily="34" charset="-122"/>
                  <a:ea typeface="微软雅黑" pitchFamily="34" charset="-122"/>
                </a:endParaRPr>
              </a:p>
            </c:rich>
          </c:tx>
          <c:layout>
            <c:manualLayout>
              <c:xMode val="edge"/>
              <c:yMode val="edge"/>
              <c:x val="0.80504634421600096"/>
              <c:y val="0.87244727083209217"/>
            </c:manualLayout>
          </c:layout>
        </c:title>
        <c:numFmt formatCode="General" sourceLinked="1"/>
        <c:tickLblPos val="nextTo"/>
        <c:crossAx val="65938176"/>
        <c:crosses val="max"/>
        <c:crossBetween val="midCat"/>
        <c:majorUnit val="2"/>
      </c:valAx>
      <c:valAx>
        <c:axId val="65938176"/>
        <c:scaling>
          <c:orientation val="maxMin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050">
                    <a:latin typeface="微软雅黑" pitchFamily="34" charset="-122"/>
                    <a:ea typeface="微软雅黑" pitchFamily="34" charset="-122"/>
                  </a:defRPr>
                </a:pPr>
                <a:r>
                  <a:rPr lang="zh-CN" altLang="en-US" sz="1050">
                    <a:latin typeface="微软雅黑" pitchFamily="34" charset="-122"/>
                    <a:ea typeface="微软雅黑" pitchFamily="34" charset="-122"/>
                  </a:rPr>
                  <a:t>相  位  差 </a:t>
                </a:r>
                <a:r>
                  <a:rPr lang="en-US" altLang="zh-CN" sz="1050">
                    <a:latin typeface="微软雅黑" pitchFamily="34" charset="-122"/>
                    <a:ea typeface="微软雅黑" pitchFamily="34" charset="-122"/>
                  </a:rPr>
                  <a:t>/ °</a:t>
                </a:r>
                <a:endParaRPr lang="zh-CN" altLang="en-US" sz="1050">
                  <a:latin typeface="微软雅黑" pitchFamily="34" charset="-122"/>
                  <a:ea typeface="微软雅黑" pitchFamily="34" charset="-122"/>
                </a:endParaRPr>
              </a:p>
            </c:rich>
          </c:tx>
          <c:layout>
            <c:manualLayout>
              <c:xMode val="edge"/>
              <c:yMode val="edge"/>
              <c:x val="2.7210889653901636E-2"/>
              <c:y val="5.7808162601870557E-2"/>
            </c:manualLayout>
          </c:layout>
        </c:title>
        <c:numFmt formatCode="General" sourceLinked="1"/>
        <c:tickLblPos val="nextTo"/>
        <c:crossAx val="6575577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0063646602027987"/>
          <c:y val="0.43765802264824988"/>
          <c:w val="0.29454570669816404"/>
          <c:h val="0.27823294599045467"/>
        </c:manualLayout>
      </c:layout>
      <c:overlay val="1"/>
      <c:txPr>
        <a:bodyPr/>
        <a:lstStyle/>
        <a:p>
          <a:pPr>
            <a:defRPr sz="1000" b="0">
              <a:latin typeface="微软雅黑" pitchFamily="34" charset="-122"/>
              <a:ea typeface="微软雅黑" pitchFamily="34" charset="-122"/>
            </a:defRPr>
          </a:pPr>
          <a:endParaRPr lang="zh-CN"/>
        </a:p>
      </c:txPr>
    </c:legend>
    <c:plotVisOnly val="1"/>
  </c:chart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0</xdr:row>
      <xdr:rowOff>0</xdr:rowOff>
    </xdr:from>
    <xdr:to>
      <xdr:col>9</xdr:col>
      <xdr:colOff>238125</xdr:colOff>
      <xdr:row>25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104775</xdr:colOff>
      <xdr:row>5</xdr:row>
      <xdr:rowOff>19051</xdr:rowOff>
    </xdr:from>
    <xdr:to>
      <xdr:col>17</xdr:col>
      <xdr:colOff>447674</xdr:colOff>
      <xdr:row>24</xdr:row>
      <xdr:rowOff>66675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19"/>
  <sheetViews>
    <sheetView workbookViewId="0">
      <selection activeCell="E24" sqref="E24"/>
    </sheetView>
  </sheetViews>
  <sheetFormatPr defaultRowHeight="13.5"/>
  <sheetData>
    <row r="2" spans="1:4">
      <c r="A2" s="1">
        <v>2</v>
      </c>
      <c r="B2" t="s">
        <v>0</v>
      </c>
      <c r="C2" t="s">
        <v>1</v>
      </c>
      <c r="D2" t="s">
        <v>2</v>
      </c>
    </row>
    <row r="3" spans="1:4">
      <c r="B3">
        <v>2</v>
      </c>
      <c r="C3">
        <v>0.17899999999999999</v>
      </c>
      <c r="D3">
        <v>-4.9000000000000004</v>
      </c>
    </row>
    <row r="4" spans="1:4">
      <c r="B4">
        <v>3</v>
      </c>
      <c r="C4">
        <v>0.19500000000000001</v>
      </c>
      <c r="D4">
        <v>-6.2</v>
      </c>
    </row>
    <row r="5" spans="1:4">
      <c r="B5">
        <v>4</v>
      </c>
      <c r="C5">
        <v>0.24399999999999999</v>
      </c>
      <c r="D5">
        <v>-7.7</v>
      </c>
    </row>
    <row r="6" spans="1:4">
      <c r="B6">
        <v>5</v>
      </c>
      <c r="C6">
        <v>0.27700000000000002</v>
      </c>
      <c r="D6">
        <v>-9.9</v>
      </c>
    </row>
    <row r="7" spans="1:4">
      <c r="B7">
        <v>6</v>
      </c>
      <c r="C7">
        <v>0.38700000000000001</v>
      </c>
      <c r="D7">
        <v>-14.4</v>
      </c>
    </row>
    <row r="8" spans="1:4">
      <c r="B8">
        <v>7</v>
      </c>
      <c r="C8">
        <v>0.71699999999999997</v>
      </c>
      <c r="D8">
        <v>-27.8</v>
      </c>
    </row>
    <row r="9" spans="1:4">
      <c r="B9">
        <v>8</v>
      </c>
      <c r="C9">
        <v>1.41</v>
      </c>
      <c r="D9">
        <v>-109.6</v>
      </c>
    </row>
    <row r="10" spans="1:4">
      <c r="B10">
        <v>9</v>
      </c>
      <c r="C10">
        <v>0.53800000000000003</v>
      </c>
      <c r="D10">
        <v>-155.6</v>
      </c>
    </row>
    <row r="11" spans="1:4">
      <c r="B11">
        <v>10</v>
      </c>
      <c r="C11">
        <v>0.28799999999999998</v>
      </c>
      <c r="D11">
        <v>-165.6</v>
      </c>
    </row>
    <row r="12" spans="1:4">
      <c r="B12">
        <v>11</v>
      </c>
      <c r="C12">
        <v>0.188</v>
      </c>
      <c r="D12">
        <v>-169.6</v>
      </c>
    </row>
    <row r="13" spans="1:4">
      <c r="B13">
        <v>12</v>
      </c>
      <c r="C13">
        <v>0.13600000000000001</v>
      </c>
      <c r="D13">
        <v>-171.9</v>
      </c>
    </row>
    <row r="14" spans="1:4">
      <c r="B14">
        <v>13</v>
      </c>
      <c r="C14">
        <v>0.105</v>
      </c>
      <c r="D14">
        <v>-173.4</v>
      </c>
    </row>
    <row r="15" spans="1:4">
      <c r="B15">
        <v>14</v>
      </c>
      <c r="C15">
        <v>8.4000000000000005E-2</v>
      </c>
      <c r="D15">
        <v>-174.6</v>
      </c>
    </row>
    <row r="16" spans="1:4">
      <c r="B16">
        <v>15</v>
      </c>
      <c r="C16">
        <v>6.9000000000000006E-2</v>
      </c>
      <c r="D16">
        <v>-175.5</v>
      </c>
    </row>
    <row r="17" spans="2:4">
      <c r="B17">
        <v>20</v>
      </c>
      <c r="C17">
        <v>3.3000000000000002E-2</v>
      </c>
      <c r="D17">
        <v>-178.3</v>
      </c>
    </row>
    <row r="18" spans="2:4">
      <c r="B18">
        <v>25</v>
      </c>
      <c r="C18">
        <v>1.9E-2</v>
      </c>
      <c r="D18">
        <v>-176.9</v>
      </c>
    </row>
    <row r="19" spans="2:4">
      <c r="B19">
        <v>30</v>
      </c>
      <c r="C19">
        <v>1.2999999999999999E-2</v>
      </c>
      <c r="D19">
        <v>179.5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D19"/>
  <sheetViews>
    <sheetView workbookViewId="0">
      <selection activeCell="B2" sqref="B2:D19"/>
    </sheetView>
  </sheetViews>
  <sheetFormatPr defaultRowHeight="13.5"/>
  <sheetData>
    <row r="2" spans="2:4">
      <c r="B2" t="s">
        <v>0</v>
      </c>
      <c r="C2" t="s">
        <v>1</v>
      </c>
      <c r="D2" t="s">
        <v>2</v>
      </c>
    </row>
    <row r="3" spans="2:4">
      <c r="B3">
        <v>2</v>
      </c>
      <c r="C3">
        <v>0.17899999999999999</v>
      </c>
      <c r="D3">
        <v>-5.3</v>
      </c>
    </row>
    <row r="4" spans="2:4">
      <c r="B4">
        <v>3</v>
      </c>
      <c r="C4">
        <v>0.19600000000000001</v>
      </c>
      <c r="D4">
        <v>-7</v>
      </c>
    </row>
    <row r="5" spans="2:4">
      <c r="B5">
        <v>4</v>
      </c>
      <c r="C5">
        <v>0.224</v>
      </c>
      <c r="D5">
        <v>-9</v>
      </c>
    </row>
    <row r="6" spans="2:4">
      <c r="B6">
        <v>5</v>
      </c>
      <c r="C6">
        <v>0.27500000000000002</v>
      </c>
      <c r="D6">
        <v>-12.4</v>
      </c>
    </row>
    <row r="7" spans="2:4">
      <c r="B7">
        <v>6</v>
      </c>
      <c r="C7">
        <v>0.38</v>
      </c>
      <c r="D7">
        <v>-18.5</v>
      </c>
    </row>
    <row r="8" spans="2:4">
      <c r="B8">
        <v>7</v>
      </c>
      <c r="C8">
        <v>0.65500000000000003</v>
      </c>
      <c r="D8">
        <v>-35.200000000000003</v>
      </c>
    </row>
    <row r="9" spans="2:4">
      <c r="B9">
        <v>8</v>
      </c>
      <c r="C9">
        <v>1.048</v>
      </c>
      <c r="D9">
        <v>-101.2</v>
      </c>
    </row>
    <row r="10" spans="2:4">
      <c r="B10">
        <v>9</v>
      </c>
      <c r="C10">
        <v>0.505</v>
      </c>
      <c r="D10">
        <v>-147.80000000000001</v>
      </c>
    </row>
    <row r="11" spans="2:4">
      <c r="B11">
        <v>10</v>
      </c>
      <c r="C11">
        <v>0.28100000000000003</v>
      </c>
      <c r="D11">
        <v>-160.5</v>
      </c>
    </row>
    <row r="12" spans="2:4">
      <c r="B12">
        <v>11</v>
      </c>
      <c r="C12">
        <v>0.186</v>
      </c>
      <c r="D12">
        <v>-166</v>
      </c>
    </row>
    <row r="13" spans="2:4">
      <c r="B13">
        <v>12</v>
      </c>
      <c r="C13">
        <v>0.13600000000000001</v>
      </c>
      <c r="D13">
        <v>-169.1</v>
      </c>
    </row>
    <row r="14" spans="2:4">
      <c r="B14">
        <v>13</v>
      </c>
      <c r="C14">
        <v>0.104</v>
      </c>
      <c r="D14">
        <v>-171.1</v>
      </c>
    </row>
    <row r="15" spans="2:4">
      <c r="B15">
        <v>14</v>
      </c>
      <c r="C15">
        <v>8.4000000000000005E-2</v>
      </c>
      <c r="D15">
        <v>-173.4</v>
      </c>
    </row>
    <row r="16" spans="2:4">
      <c r="B16">
        <v>15</v>
      </c>
      <c r="C16">
        <v>6.9000000000000006E-2</v>
      </c>
      <c r="D16">
        <v>-173.8</v>
      </c>
    </row>
    <row r="17" spans="2:4">
      <c r="B17">
        <v>20</v>
      </c>
      <c r="C17">
        <v>3.3000000000000002E-2</v>
      </c>
      <c r="D17">
        <v>-177.2</v>
      </c>
    </row>
    <row r="18" spans="2:4">
      <c r="B18">
        <v>25</v>
      </c>
      <c r="C18">
        <v>0.02</v>
      </c>
      <c r="D18">
        <v>-176.2</v>
      </c>
    </row>
    <row r="19" spans="2:4">
      <c r="B19">
        <v>30</v>
      </c>
      <c r="C19">
        <v>1.2999999999999999E-2</v>
      </c>
      <c r="D19">
        <v>-179.7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D20"/>
  <sheetViews>
    <sheetView workbookViewId="0">
      <selection activeCell="B2" sqref="B2:D19"/>
    </sheetView>
  </sheetViews>
  <sheetFormatPr defaultRowHeight="13.5"/>
  <sheetData>
    <row r="2" spans="2:4">
      <c r="B2" t="s">
        <v>0</v>
      </c>
      <c r="C2" t="s">
        <v>1</v>
      </c>
      <c r="D2" t="s">
        <v>2</v>
      </c>
    </row>
    <row r="3" spans="2:4">
      <c r="B3">
        <v>2</v>
      </c>
      <c r="C3">
        <v>0.17899999999999999</v>
      </c>
      <c r="D3">
        <v>-6.2</v>
      </c>
    </row>
    <row r="4" spans="2:4">
      <c r="B4">
        <v>3</v>
      </c>
      <c r="C4">
        <v>0.19500000000000001</v>
      </c>
      <c r="D4">
        <v>-8.5</v>
      </c>
    </row>
    <row r="5" spans="2:4">
      <c r="B5">
        <v>4</v>
      </c>
      <c r="C5">
        <v>0.222</v>
      </c>
      <c r="D5">
        <v>-11.1</v>
      </c>
    </row>
    <row r="6" spans="2:4">
      <c r="B6">
        <v>5</v>
      </c>
      <c r="C6">
        <v>0.27100000000000002</v>
      </c>
      <c r="D6">
        <v>-15.6</v>
      </c>
    </row>
    <row r="7" spans="2:4">
      <c r="B7">
        <v>6</v>
      </c>
      <c r="C7">
        <v>0.36599999999999999</v>
      </c>
      <c r="D7">
        <v>-23</v>
      </c>
    </row>
    <row r="8" spans="2:4">
      <c r="B8">
        <v>7</v>
      </c>
      <c r="C8">
        <v>0.57999999999999996</v>
      </c>
      <c r="D8">
        <v>-42.4</v>
      </c>
    </row>
    <row r="9" spans="2:4">
      <c r="B9">
        <v>8</v>
      </c>
      <c r="C9">
        <v>0.79200000000000004</v>
      </c>
      <c r="D9">
        <v>-95.8</v>
      </c>
    </row>
    <row r="10" spans="2:4">
      <c r="B10">
        <v>9</v>
      </c>
      <c r="C10">
        <v>0.46100000000000002</v>
      </c>
      <c r="D10">
        <v>-138.6</v>
      </c>
    </row>
    <row r="11" spans="2:4">
      <c r="B11">
        <v>10</v>
      </c>
      <c r="C11">
        <v>0.27200000000000002</v>
      </c>
      <c r="D11">
        <v>-154.1</v>
      </c>
    </row>
    <row r="12" spans="2:4">
      <c r="B12">
        <v>11</v>
      </c>
      <c r="C12">
        <v>0.183</v>
      </c>
      <c r="D12">
        <v>-162</v>
      </c>
    </row>
    <row r="13" spans="2:4">
      <c r="B13">
        <v>12</v>
      </c>
      <c r="C13">
        <v>0.13500000000000001</v>
      </c>
      <c r="D13">
        <v>-165.8</v>
      </c>
    </row>
    <row r="14" spans="2:4">
      <c r="B14">
        <v>13</v>
      </c>
      <c r="C14">
        <v>0.104</v>
      </c>
      <c r="D14">
        <v>-168</v>
      </c>
    </row>
    <row r="15" spans="2:4">
      <c r="B15">
        <v>14</v>
      </c>
      <c r="C15">
        <v>8.4000000000000005E-2</v>
      </c>
      <c r="D15">
        <v>-170</v>
      </c>
    </row>
    <row r="16" spans="2:4">
      <c r="B16">
        <v>15</v>
      </c>
      <c r="C16">
        <v>6.9000000000000006E-2</v>
      </c>
      <c r="D16">
        <v>-171.4</v>
      </c>
    </row>
    <row r="17" spans="2:4">
      <c r="B17">
        <v>20</v>
      </c>
      <c r="C17">
        <v>3.3000000000000002E-2</v>
      </c>
      <c r="D17">
        <v>-175.7</v>
      </c>
    </row>
    <row r="18" spans="2:4">
      <c r="B18">
        <v>25</v>
      </c>
      <c r="C18">
        <v>0.02</v>
      </c>
      <c r="D18">
        <v>-175.1</v>
      </c>
    </row>
    <row r="19" spans="2:4">
      <c r="B19">
        <v>30</v>
      </c>
      <c r="C19">
        <v>1.2999999999999999E-2</v>
      </c>
      <c r="D19">
        <v>-179</v>
      </c>
    </row>
    <row r="20" spans="2:4">
      <c r="C20" t="s">
        <v>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J16"/>
  <sheetViews>
    <sheetView workbookViewId="0">
      <selection activeCell="G24" sqref="G24"/>
    </sheetView>
  </sheetViews>
  <sheetFormatPr defaultRowHeight="13.5"/>
  <sheetData>
    <row r="1" spans="2:10" ht="14.25" thickBot="1"/>
    <row r="2" spans="2:10">
      <c r="B2" s="3"/>
      <c r="C2" s="4" t="s">
        <v>12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10</v>
      </c>
    </row>
    <row r="3" spans="2:10">
      <c r="B3" s="43" t="s">
        <v>18</v>
      </c>
      <c r="C3" s="2" t="s">
        <v>14</v>
      </c>
      <c r="D3" s="2">
        <v>4</v>
      </c>
      <c r="E3" s="2">
        <v>0.122</v>
      </c>
      <c r="F3" s="2">
        <v>8.18</v>
      </c>
      <c r="G3" s="2">
        <v>3.3439999999999999</v>
      </c>
      <c r="H3" s="2">
        <v>5.3999999999999999E-2</v>
      </c>
      <c r="I3" s="2">
        <v>0.35599999999999998</v>
      </c>
      <c r="J3" s="6">
        <v>0.54300000000000004</v>
      </c>
    </row>
    <row r="4" spans="2:10">
      <c r="B4" s="43"/>
      <c r="C4" s="2" t="s">
        <v>16</v>
      </c>
      <c r="D4" s="2">
        <v>4</v>
      </c>
      <c r="E4" s="2">
        <v>0.121</v>
      </c>
      <c r="F4" s="2">
        <v>8.2469999999999999</v>
      </c>
      <c r="G4" s="2">
        <v>-2.6440000000000001</v>
      </c>
      <c r="H4" s="2">
        <v>0.11799999999999999</v>
      </c>
      <c r="I4" s="2">
        <v>-0.252</v>
      </c>
      <c r="J4" s="6">
        <v>0.60299999999999998</v>
      </c>
    </row>
    <row r="5" spans="2:10">
      <c r="B5" s="43" t="s">
        <v>20</v>
      </c>
      <c r="C5" s="2" t="s">
        <v>14</v>
      </c>
      <c r="D5" s="2">
        <v>4</v>
      </c>
      <c r="E5" s="2">
        <v>0.121</v>
      </c>
      <c r="F5" s="2">
        <v>8.2639999999999993</v>
      </c>
      <c r="G5" s="2">
        <v>3.3540000000000001</v>
      </c>
      <c r="H5" s="2">
        <v>5.7000000000000002E-2</v>
      </c>
      <c r="I5" s="2">
        <v>0.16900000000000001</v>
      </c>
      <c r="J5" s="6">
        <v>0.54100000000000004</v>
      </c>
    </row>
    <row r="6" spans="2:10">
      <c r="B6" s="43"/>
      <c r="C6" s="2" t="s">
        <v>16</v>
      </c>
      <c r="D6" s="2">
        <v>4</v>
      </c>
      <c r="E6" s="2">
        <v>0.12</v>
      </c>
      <c r="F6" s="2">
        <v>8.3510000000000009</v>
      </c>
      <c r="G6" s="2">
        <v>-2.4550000000000001</v>
      </c>
      <c r="H6" s="2">
        <v>0.11899999999999999</v>
      </c>
      <c r="I6" s="2">
        <v>-0.11700000000000001</v>
      </c>
      <c r="J6" s="6">
        <v>0.59799999999999998</v>
      </c>
    </row>
    <row r="7" spans="2:10">
      <c r="B7" s="43" t="s">
        <v>22</v>
      </c>
      <c r="C7" s="2" t="s">
        <v>14</v>
      </c>
      <c r="D7" s="2">
        <v>4</v>
      </c>
      <c r="E7" s="2">
        <v>0.11899999999999999</v>
      </c>
      <c r="F7" s="2">
        <v>8.4209999999999994</v>
      </c>
      <c r="G7" s="2">
        <v>3.6669999999999998</v>
      </c>
      <c r="H7" s="2">
        <v>3.9E-2</v>
      </c>
      <c r="I7" s="2">
        <v>0.114</v>
      </c>
      <c r="J7" s="6">
        <v>0.51400000000000001</v>
      </c>
    </row>
    <row r="8" spans="2:10" ht="14.25" thickBot="1">
      <c r="B8" s="44"/>
      <c r="C8" s="7" t="s">
        <v>16</v>
      </c>
      <c r="D8" s="7">
        <v>4</v>
      </c>
      <c r="E8" s="7">
        <v>0.11600000000000001</v>
      </c>
      <c r="F8" s="7">
        <v>8.6210000000000004</v>
      </c>
      <c r="G8" s="7">
        <v>-2.4470000000000001</v>
      </c>
      <c r="H8" s="7">
        <v>0.10199999999999999</v>
      </c>
      <c r="I8" s="7">
        <v>-5.2999999999999999E-2</v>
      </c>
      <c r="J8" s="8">
        <v>0.56599999999999995</v>
      </c>
    </row>
    <row r="9" spans="2:10" ht="14.25" thickBot="1"/>
    <row r="10" spans="2:10" ht="15" thickBot="1">
      <c r="B10" s="9"/>
      <c r="C10" s="10" t="s">
        <v>11</v>
      </c>
      <c r="D10" s="10" t="s">
        <v>23</v>
      </c>
      <c r="E10" s="10" t="s">
        <v>24</v>
      </c>
      <c r="F10" s="10" t="s">
        <v>25</v>
      </c>
      <c r="G10" s="10" t="s">
        <v>26</v>
      </c>
    </row>
    <row r="11" spans="2:10" ht="15" thickBot="1">
      <c r="B11" s="41" t="s">
        <v>17</v>
      </c>
      <c r="C11" s="11" t="s">
        <v>13</v>
      </c>
      <c r="D11" s="11">
        <v>0.122</v>
      </c>
      <c r="E11" s="11">
        <v>8.18</v>
      </c>
      <c r="F11" s="11">
        <v>0.56000000000000005</v>
      </c>
      <c r="G11" s="12">
        <f>F11/2/3.1415</f>
        <v>8.9129396784975334E-2</v>
      </c>
    </row>
    <row r="12" spans="2:10" ht="15" thickBot="1">
      <c r="B12" s="45"/>
      <c r="C12" s="11" t="s">
        <v>15</v>
      </c>
      <c r="D12" s="11">
        <v>0.121</v>
      </c>
      <c r="E12" s="11">
        <v>8.2469999999999999</v>
      </c>
      <c r="F12" s="11">
        <v>0.58799999999999997</v>
      </c>
      <c r="G12" s="12">
        <f t="shared" ref="G12:G16" si="0">F12/2/3.1415</f>
        <v>9.3585866624224093E-2</v>
      </c>
    </row>
    <row r="13" spans="2:10" ht="15" thickBot="1">
      <c r="B13" s="41" t="s">
        <v>19</v>
      </c>
      <c r="C13" s="11" t="s">
        <v>13</v>
      </c>
      <c r="D13" s="11">
        <v>0.121</v>
      </c>
      <c r="E13" s="11">
        <v>8.2639999999999993</v>
      </c>
      <c r="F13" s="11">
        <v>0.747</v>
      </c>
      <c r="G13" s="12">
        <f t="shared" si="0"/>
        <v>0.11889224892567245</v>
      </c>
    </row>
    <row r="14" spans="2:10" ht="15" thickBot="1">
      <c r="B14" s="45"/>
      <c r="C14" s="11" t="s">
        <v>15</v>
      </c>
      <c r="D14" s="11">
        <v>0.12</v>
      </c>
      <c r="E14" s="11">
        <v>8.3510000000000009</v>
      </c>
      <c r="F14" s="11">
        <v>0.76100000000000001</v>
      </c>
      <c r="G14" s="12">
        <f t="shared" si="0"/>
        <v>0.12112048384529683</v>
      </c>
    </row>
    <row r="15" spans="2:10" ht="15" thickBot="1">
      <c r="B15" s="41" t="s">
        <v>21</v>
      </c>
      <c r="C15" s="11" t="s">
        <v>13</v>
      </c>
      <c r="D15" s="11">
        <v>0.11899999999999999</v>
      </c>
      <c r="E15" s="11">
        <v>8.4209999999999994</v>
      </c>
      <c r="F15" s="11">
        <v>0.86799999999999999</v>
      </c>
      <c r="G15" s="12">
        <f t="shared" si="0"/>
        <v>0.13815056501671175</v>
      </c>
    </row>
    <row r="16" spans="2:10" ht="15" thickBot="1">
      <c r="B16" s="42"/>
      <c r="C16" s="11" t="s">
        <v>15</v>
      </c>
      <c r="D16" s="11">
        <v>0.11600000000000001</v>
      </c>
      <c r="E16" s="11">
        <v>8.6210000000000004</v>
      </c>
      <c r="F16" s="11">
        <v>0.95799999999999996</v>
      </c>
      <c r="G16" s="12">
        <f t="shared" si="0"/>
        <v>0.1524749323571542</v>
      </c>
    </row>
  </sheetData>
  <mergeCells count="6">
    <mergeCell ref="B15:B16"/>
    <mergeCell ref="B3:B4"/>
    <mergeCell ref="B5:B6"/>
    <mergeCell ref="B7:B8"/>
    <mergeCell ref="B11:B12"/>
    <mergeCell ref="B13:B14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M36"/>
  <sheetViews>
    <sheetView topLeftCell="A19" workbookViewId="0">
      <selection activeCell="J33" sqref="J33:K36"/>
    </sheetView>
  </sheetViews>
  <sheetFormatPr defaultRowHeight="13.5"/>
  <cols>
    <col min="4" max="4" width="11.125" bestFit="1" customWidth="1"/>
    <col min="5" max="5" width="12.625" bestFit="1" customWidth="1"/>
  </cols>
  <sheetData>
    <row r="1" spans="2:13" ht="14.25" thickBot="1"/>
    <row r="2" spans="2:13" ht="14.25">
      <c r="B2" s="13" t="s">
        <v>28</v>
      </c>
      <c r="C2" s="48" t="s">
        <v>29</v>
      </c>
      <c r="D2" s="48"/>
      <c r="E2" s="48" t="s">
        <v>27</v>
      </c>
      <c r="F2" s="48"/>
      <c r="G2" s="48" t="s">
        <v>30</v>
      </c>
      <c r="H2" s="49"/>
    </row>
    <row r="3" spans="2:13" ht="14.25">
      <c r="B3" s="16" t="s">
        <v>31</v>
      </c>
      <c r="C3" s="17" t="s">
        <v>32</v>
      </c>
      <c r="D3" s="17" t="s">
        <v>33</v>
      </c>
      <c r="E3" s="17" t="s">
        <v>32</v>
      </c>
      <c r="F3" s="17" t="s">
        <v>33</v>
      </c>
      <c r="G3" s="17" t="s">
        <v>32</v>
      </c>
      <c r="H3" s="18" t="s">
        <v>33</v>
      </c>
      <c r="J3" s="16" t="s">
        <v>0</v>
      </c>
      <c r="K3" s="24" t="s">
        <v>34</v>
      </c>
      <c r="L3" s="24" t="s">
        <v>35</v>
      </c>
      <c r="M3" s="24" t="s">
        <v>36</v>
      </c>
    </row>
    <row r="4" spans="2:13" ht="14.25">
      <c r="B4" s="16">
        <v>2</v>
      </c>
      <c r="C4" s="17">
        <v>0.17899999999999999</v>
      </c>
      <c r="D4" s="17">
        <v>-4.9000000000000004</v>
      </c>
      <c r="E4" s="17">
        <v>0.17899999999999999</v>
      </c>
      <c r="F4" s="17">
        <v>-5.3</v>
      </c>
      <c r="G4" s="17">
        <v>0.17899999999999999</v>
      </c>
      <c r="H4" s="18">
        <v>-6.2</v>
      </c>
      <c r="J4" s="16">
        <v>2</v>
      </c>
      <c r="K4" s="17">
        <v>0.17899999999999999</v>
      </c>
      <c r="L4" s="17">
        <v>0.17899999999999999</v>
      </c>
      <c r="M4" s="17">
        <v>0.17899999999999999</v>
      </c>
    </row>
    <row r="5" spans="2:13" ht="14.25">
      <c r="B5" s="16">
        <v>3</v>
      </c>
      <c r="C5" s="17">
        <v>0.19500000000000001</v>
      </c>
      <c r="D5" s="17">
        <v>-6.2</v>
      </c>
      <c r="E5" s="17">
        <v>0.19600000000000001</v>
      </c>
      <c r="F5" s="17">
        <v>-7</v>
      </c>
      <c r="G5" s="17">
        <v>0.19500000000000001</v>
      </c>
      <c r="H5" s="18">
        <v>-8.5</v>
      </c>
      <c r="J5" s="16">
        <v>3</v>
      </c>
      <c r="K5" s="17">
        <v>0.19500000000000001</v>
      </c>
      <c r="L5" s="17">
        <v>0.19600000000000001</v>
      </c>
      <c r="M5" s="17">
        <v>0.19500000000000001</v>
      </c>
    </row>
    <row r="6" spans="2:13" ht="14.25">
      <c r="B6" s="16">
        <v>4</v>
      </c>
      <c r="C6" s="17">
        <v>0.24399999999999999</v>
      </c>
      <c r="D6" s="17">
        <v>-7.7</v>
      </c>
      <c r="E6" s="17">
        <v>0.224</v>
      </c>
      <c r="F6" s="17">
        <v>-9</v>
      </c>
      <c r="G6" s="17">
        <v>0.222</v>
      </c>
      <c r="H6" s="18">
        <v>-11.1</v>
      </c>
      <c r="J6" s="16">
        <v>4</v>
      </c>
      <c r="K6" s="17">
        <v>0.24399999999999999</v>
      </c>
      <c r="L6" s="17">
        <v>0.224</v>
      </c>
      <c r="M6" s="17">
        <v>0.222</v>
      </c>
    </row>
    <row r="7" spans="2:13" ht="14.25">
      <c r="B7" s="16">
        <v>5</v>
      </c>
      <c r="C7" s="17">
        <v>0.27700000000000002</v>
      </c>
      <c r="D7" s="17">
        <v>-9.9</v>
      </c>
      <c r="E7" s="17">
        <v>0.27500000000000002</v>
      </c>
      <c r="F7" s="17">
        <v>-12.4</v>
      </c>
      <c r="G7" s="17">
        <v>0.27100000000000002</v>
      </c>
      <c r="H7" s="18">
        <v>-15.6</v>
      </c>
      <c r="J7" s="16">
        <v>5</v>
      </c>
      <c r="K7" s="17">
        <v>0.27700000000000002</v>
      </c>
      <c r="L7" s="17">
        <v>0.27500000000000002</v>
      </c>
      <c r="M7" s="17">
        <v>0.27100000000000002</v>
      </c>
    </row>
    <row r="8" spans="2:13" ht="14.25">
      <c r="B8" s="16">
        <v>6</v>
      </c>
      <c r="C8" s="17">
        <v>0.38700000000000001</v>
      </c>
      <c r="D8" s="17">
        <v>-14.4</v>
      </c>
      <c r="E8" s="17">
        <v>0.38</v>
      </c>
      <c r="F8" s="17">
        <v>-18.5</v>
      </c>
      <c r="G8" s="17">
        <v>0.36599999999999999</v>
      </c>
      <c r="H8" s="18">
        <v>-23</v>
      </c>
      <c r="J8" s="16">
        <v>6</v>
      </c>
      <c r="K8" s="17">
        <v>0.38700000000000001</v>
      </c>
      <c r="L8" s="17">
        <v>0.38</v>
      </c>
      <c r="M8" s="17">
        <v>0.36599999999999999</v>
      </c>
    </row>
    <row r="9" spans="2:13" ht="14.25">
      <c r="B9" s="16">
        <v>7</v>
      </c>
      <c r="C9" s="17">
        <v>0.71699999999999997</v>
      </c>
      <c r="D9" s="17">
        <v>-27.8</v>
      </c>
      <c r="E9" s="17">
        <v>0.65500000000000003</v>
      </c>
      <c r="F9" s="17">
        <v>-35.200000000000003</v>
      </c>
      <c r="G9" s="17">
        <v>0.57999999999999996</v>
      </c>
      <c r="H9" s="18">
        <v>-42.4</v>
      </c>
      <c r="J9" s="16">
        <v>7</v>
      </c>
      <c r="K9" s="17">
        <v>0.71699999999999997</v>
      </c>
      <c r="L9" s="17">
        <v>0.65500000000000003</v>
      </c>
      <c r="M9" s="17">
        <v>0.57999999999999996</v>
      </c>
    </row>
    <row r="10" spans="2:13" ht="14.25">
      <c r="B10" s="16">
        <v>8</v>
      </c>
      <c r="C10" s="17">
        <v>1.41</v>
      </c>
      <c r="D10" s="17">
        <v>-109.6</v>
      </c>
      <c r="E10" s="17">
        <v>1.048</v>
      </c>
      <c r="F10" s="17">
        <v>-101.2</v>
      </c>
      <c r="G10" s="17">
        <v>0.79200000000000004</v>
      </c>
      <c r="H10" s="18">
        <v>-95.8</v>
      </c>
      <c r="J10" s="16">
        <v>8</v>
      </c>
      <c r="K10" s="17">
        <v>1.41</v>
      </c>
      <c r="L10" s="17">
        <v>1.048</v>
      </c>
      <c r="M10" s="17">
        <v>0.79200000000000004</v>
      </c>
    </row>
    <row r="11" spans="2:13" ht="14.25">
      <c r="B11" s="16">
        <v>9</v>
      </c>
      <c r="C11" s="17">
        <v>0.53800000000000003</v>
      </c>
      <c r="D11" s="17">
        <v>-155.6</v>
      </c>
      <c r="E11" s="17">
        <v>0.505</v>
      </c>
      <c r="F11" s="17">
        <v>-147.80000000000001</v>
      </c>
      <c r="G11" s="17">
        <v>0.46100000000000002</v>
      </c>
      <c r="H11" s="18">
        <v>-138.6</v>
      </c>
      <c r="J11" s="16">
        <v>9</v>
      </c>
      <c r="K11" s="17">
        <v>0.53800000000000003</v>
      </c>
      <c r="L11" s="17">
        <v>0.505</v>
      </c>
      <c r="M11" s="17">
        <v>0.46100000000000002</v>
      </c>
    </row>
    <row r="12" spans="2:13" ht="14.25">
      <c r="B12" s="16">
        <v>10</v>
      </c>
      <c r="C12" s="17">
        <v>0.28799999999999998</v>
      </c>
      <c r="D12" s="17">
        <v>-165.6</v>
      </c>
      <c r="E12" s="17">
        <v>0.28100000000000003</v>
      </c>
      <c r="F12" s="17">
        <v>-160.5</v>
      </c>
      <c r="G12" s="17">
        <v>0.27200000000000002</v>
      </c>
      <c r="H12" s="18">
        <v>-154.1</v>
      </c>
      <c r="J12" s="16">
        <v>10</v>
      </c>
      <c r="K12" s="17">
        <v>0.28799999999999998</v>
      </c>
      <c r="L12" s="17">
        <v>0.28100000000000003</v>
      </c>
      <c r="M12" s="17">
        <v>0.27200000000000002</v>
      </c>
    </row>
    <row r="13" spans="2:13" ht="14.25">
      <c r="B13" s="16">
        <v>11</v>
      </c>
      <c r="C13" s="17">
        <v>0.188</v>
      </c>
      <c r="D13" s="17">
        <v>-169.6</v>
      </c>
      <c r="E13" s="17">
        <v>0.186</v>
      </c>
      <c r="F13" s="17">
        <v>-166</v>
      </c>
      <c r="G13" s="17">
        <v>0.183</v>
      </c>
      <c r="H13" s="18">
        <v>-162</v>
      </c>
      <c r="J13" s="16">
        <v>11</v>
      </c>
      <c r="K13" s="17">
        <v>0.188</v>
      </c>
      <c r="L13" s="17">
        <v>0.186</v>
      </c>
      <c r="M13" s="17">
        <v>0.183</v>
      </c>
    </row>
    <row r="14" spans="2:13" ht="14.25">
      <c r="B14" s="16">
        <v>12</v>
      </c>
      <c r="C14" s="17">
        <v>0.13600000000000001</v>
      </c>
      <c r="D14" s="17">
        <v>-171.9</v>
      </c>
      <c r="E14" s="17">
        <v>0.13600000000000001</v>
      </c>
      <c r="F14" s="17">
        <v>-169.1</v>
      </c>
      <c r="G14" s="17">
        <v>0.13500000000000001</v>
      </c>
      <c r="H14" s="18">
        <v>-165.8</v>
      </c>
      <c r="J14" s="16">
        <v>12</v>
      </c>
      <c r="K14" s="17">
        <v>0.13600000000000001</v>
      </c>
      <c r="L14" s="17">
        <v>0.13600000000000001</v>
      </c>
      <c r="M14" s="17">
        <v>0.13500000000000001</v>
      </c>
    </row>
    <row r="15" spans="2:13" ht="14.25">
      <c r="B15" s="16">
        <v>13</v>
      </c>
      <c r="C15" s="17">
        <v>0.105</v>
      </c>
      <c r="D15" s="17">
        <v>-173.4</v>
      </c>
      <c r="E15" s="17">
        <v>0.104</v>
      </c>
      <c r="F15" s="17">
        <v>-171.1</v>
      </c>
      <c r="G15" s="17">
        <v>0.104</v>
      </c>
      <c r="H15" s="18">
        <v>-168</v>
      </c>
      <c r="J15" s="16">
        <v>13</v>
      </c>
      <c r="K15" s="17">
        <v>0.105</v>
      </c>
      <c r="L15" s="17">
        <v>0.104</v>
      </c>
      <c r="M15" s="17">
        <v>0.104</v>
      </c>
    </row>
    <row r="16" spans="2:13" ht="14.25">
      <c r="B16" s="16">
        <v>14</v>
      </c>
      <c r="C16" s="17">
        <v>8.4000000000000005E-2</v>
      </c>
      <c r="D16" s="17">
        <v>-174.6</v>
      </c>
      <c r="E16" s="17">
        <v>8.4000000000000005E-2</v>
      </c>
      <c r="F16" s="17">
        <v>-173.4</v>
      </c>
      <c r="G16" s="17">
        <v>8.4000000000000005E-2</v>
      </c>
      <c r="H16" s="18">
        <v>-170</v>
      </c>
      <c r="J16" s="16">
        <v>14</v>
      </c>
      <c r="K16" s="17">
        <v>8.4000000000000005E-2</v>
      </c>
      <c r="L16" s="17">
        <v>8.4000000000000005E-2</v>
      </c>
      <c r="M16" s="17">
        <v>8.4000000000000005E-2</v>
      </c>
    </row>
    <row r="17" spans="2:13" ht="14.25">
      <c r="B17" s="16">
        <v>15</v>
      </c>
      <c r="C17" s="17">
        <v>6.9000000000000006E-2</v>
      </c>
      <c r="D17" s="17">
        <v>-175.5</v>
      </c>
      <c r="E17" s="17">
        <v>6.9000000000000006E-2</v>
      </c>
      <c r="F17" s="17">
        <v>-173.8</v>
      </c>
      <c r="G17" s="17">
        <v>6.9000000000000006E-2</v>
      </c>
      <c r="H17" s="18">
        <v>-171.4</v>
      </c>
      <c r="J17" s="16">
        <v>15</v>
      </c>
      <c r="K17" s="17">
        <v>6.9000000000000006E-2</v>
      </c>
      <c r="L17" s="17">
        <v>6.9000000000000006E-2</v>
      </c>
      <c r="M17" s="17">
        <v>6.9000000000000006E-2</v>
      </c>
    </row>
    <row r="18" spans="2:13" ht="14.25">
      <c r="B18" s="16">
        <v>20</v>
      </c>
      <c r="C18" s="17">
        <v>3.3000000000000002E-2</v>
      </c>
      <c r="D18" s="17">
        <v>-178.3</v>
      </c>
      <c r="E18" s="17">
        <v>3.3000000000000002E-2</v>
      </c>
      <c r="F18" s="17">
        <v>-177.2</v>
      </c>
      <c r="G18" s="17">
        <v>3.3000000000000002E-2</v>
      </c>
      <c r="H18" s="18">
        <v>-175.7</v>
      </c>
      <c r="J18" s="16">
        <v>20</v>
      </c>
      <c r="K18" s="17">
        <v>3.3000000000000002E-2</v>
      </c>
      <c r="L18" s="17">
        <v>3.3000000000000002E-2</v>
      </c>
      <c r="M18" s="17">
        <v>3.3000000000000002E-2</v>
      </c>
    </row>
    <row r="19" spans="2:13" ht="14.25">
      <c r="B19" s="16">
        <v>25</v>
      </c>
      <c r="C19" s="17">
        <v>1.9E-2</v>
      </c>
      <c r="D19" s="17">
        <v>-176.9</v>
      </c>
      <c r="E19" s="17">
        <v>0.02</v>
      </c>
      <c r="F19" s="17">
        <v>-176.2</v>
      </c>
      <c r="G19" s="17">
        <v>0.02</v>
      </c>
      <c r="H19" s="18">
        <v>-175.1</v>
      </c>
      <c r="J19" s="16">
        <v>25</v>
      </c>
      <c r="K19" s="17">
        <v>1.9E-2</v>
      </c>
      <c r="L19" s="17">
        <v>0.02</v>
      </c>
      <c r="M19" s="17">
        <v>0.02</v>
      </c>
    </row>
    <row r="20" spans="2:13" ht="15" thickBot="1">
      <c r="B20" s="19">
        <v>30</v>
      </c>
      <c r="C20" s="20">
        <v>1.2999999999999999E-2</v>
      </c>
      <c r="D20" s="20">
        <v>179.5</v>
      </c>
      <c r="E20" s="20">
        <v>1.2999999999999999E-2</v>
      </c>
      <c r="F20" s="20">
        <v>-179.7</v>
      </c>
      <c r="G20" s="20">
        <v>1.2999999999999999E-2</v>
      </c>
      <c r="H20" s="21">
        <v>-179</v>
      </c>
      <c r="J20" s="19">
        <v>30</v>
      </c>
      <c r="K20" s="20">
        <v>1.2999999999999999E-2</v>
      </c>
      <c r="L20" s="20">
        <v>1.2999999999999999E-2</v>
      </c>
      <c r="M20" s="20">
        <v>1.2999999999999999E-2</v>
      </c>
    </row>
    <row r="31" spans="2:13" ht="14.25" thickBot="1"/>
    <row r="32" spans="2:13" ht="15">
      <c r="C32" s="28"/>
      <c r="D32" s="46" t="s">
        <v>37</v>
      </c>
      <c r="E32" s="46"/>
      <c r="F32" s="46"/>
      <c r="G32" s="46"/>
      <c r="H32" s="46"/>
      <c r="I32" s="46" t="s">
        <v>46</v>
      </c>
      <c r="J32" s="46"/>
      <c r="K32" s="47"/>
    </row>
    <row r="33" spans="3:11" ht="16.5">
      <c r="C33" s="29" t="s">
        <v>47</v>
      </c>
      <c r="D33" s="25" t="s">
        <v>40</v>
      </c>
      <c r="E33" s="25" t="s">
        <v>39</v>
      </c>
      <c r="F33" s="25" t="s">
        <v>38</v>
      </c>
      <c r="G33" s="25" t="s">
        <v>41</v>
      </c>
      <c r="H33" s="25" t="s">
        <v>42</v>
      </c>
      <c r="I33" s="25" t="s">
        <v>43</v>
      </c>
      <c r="J33" s="25" t="s">
        <v>44</v>
      </c>
      <c r="K33" s="26" t="s">
        <v>45</v>
      </c>
    </row>
    <row r="34" spans="3:11" ht="16.5">
      <c r="C34" s="29" t="s">
        <v>48</v>
      </c>
      <c r="D34" s="25">
        <v>0.17899999999999999</v>
      </c>
      <c r="E34" s="25">
        <v>1.5349999999999999</v>
      </c>
      <c r="F34" s="25">
        <v>7.79</v>
      </c>
      <c r="G34" s="25">
        <v>7.38</v>
      </c>
      <c r="H34" s="25">
        <v>8.26</v>
      </c>
      <c r="I34" s="25">
        <v>7.79</v>
      </c>
      <c r="J34" s="31">
        <f>D34/(2*E34)</f>
        <v>5.8306188925081437E-2</v>
      </c>
      <c r="K34" s="32">
        <f>(H34-G34)/(2*F34)</f>
        <v>5.6482670089858786E-2</v>
      </c>
    </row>
    <row r="35" spans="3:11" ht="16.5">
      <c r="C35" s="29" t="s">
        <v>49</v>
      </c>
      <c r="D35" s="25">
        <v>0.17899999999999999</v>
      </c>
      <c r="E35" s="25">
        <v>1.091</v>
      </c>
      <c r="F35" s="25">
        <v>7.81</v>
      </c>
      <c r="G35" s="25">
        <v>7.21</v>
      </c>
      <c r="H35" s="25">
        <v>8.4600000000000009</v>
      </c>
      <c r="I35" s="25">
        <v>7.81</v>
      </c>
      <c r="J35" s="31">
        <f t="shared" ref="J35:J36" si="0">D35/(2*E35)</f>
        <v>8.2034830430797429E-2</v>
      </c>
      <c r="K35" s="32">
        <f t="shared" ref="K35:K36" si="1">(H35-G35)/(2*F35)</f>
        <v>8.0025608194622344E-2</v>
      </c>
    </row>
    <row r="36" spans="3:11" ht="17.25" thickBot="1">
      <c r="C36" s="30" t="s">
        <v>50</v>
      </c>
      <c r="D36" s="27">
        <v>0.17899999999999999</v>
      </c>
      <c r="E36" s="27">
        <v>0.82</v>
      </c>
      <c r="F36" s="27">
        <v>7.84</v>
      </c>
      <c r="G36" s="27">
        <v>7</v>
      </c>
      <c r="H36" s="27">
        <v>8.64</v>
      </c>
      <c r="I36" s="27">
        <v>7.84</v>
      </c>
      <c r="J36" s="33">
        <f t="shared" si="0"/>
        <v>0.10914634146341463</v>
      </c>
      <c r="K36" s="34">
        <f t="shared" si="1"/>
        <v>0.10459183673469391</v>
      </c>
    </row>
  </sheetData>
  <mergeCells count="5">
    <mergeCell ref="I32:K32"/>
    <mergeCell ref="E2:F2"/>
    <mergeCell ref="G2:H2"/>
    <mergeCell ref="C2:D2"/>
    <mergeCell ref="D32:H32"/>
  </mergeCells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1:K31"/>
  <sheetViews>
    <sheetView topLeftCell="A19" workbookViewId="0">
      <selection activeCell="I20" sqref="I20"/>
    </sheetView>
  </sheetViews>
  <sheetFormatPr defaultRowHeight="13.5"/>
  <cols>
    <col min="9" max="9" width="9.125" bestFit="1" customWidth="1"/>
    <col min="11" max="11" width="13.875" bestFit="1" customWidth="1"/>
  </cols>
  <sheetData>
    <row r="1" spans="2:11" ht="14.25" thickBot="1"/>
    <row r="2" spans="2:11" ht="15" thickBot="1">
      <c r="B2" s="13" t="s">
        <v>28</v>
      </c>
      <c r="C2" s="14" t="s">
        <v>18</v>
      </c>
      <c r="D2" s="14" t="s">
        <v>20</v>
      </c>
      <c r="E2" s="15" t="s">
        <v>22</v>
      </c>
    </row>
    <row r="3" spans="2:11" ht="14.25">
      <c r="B3" s="16" t="s">
        <v>0</v>
      </c>
      <c r="C3" s="50" t="s">
        <v>2</v>
      </c>
      <c r="D3" s="51"/>
      <c r="E3" s="52"/>
      <c r="H3" s="13" t="s">
        <v>0</v>
      </c>
      <c r="I3" s="14" t="s">
        <v>51</v>
      </c>
      <c r="J3" s="14" t="s">
        <v>52</v>
      </c>
      <c r="K3" s="15" t="s">
        <v>53</v>
      </c>
    </row>
    <row r="4" spans="2:11" ht="14.25">
      <c r="B4" s="16">
        <v>2</v>
      </c>
      <c r="C4" s="17">
        <v>-4.9000000000000004</v>
      </c>
      <c r="D4" s="17">
        <v>-5.3</v>
      </c>
      <c r="E4" s="18">
        <v>-6.2</v>
      </c>
      <c r="H4" s="16">
        <v>2</v>
      </c>
      <c r="I4" s="17">
        <v>-4.9000000000000004</v>
      </c>
      <c r="J4" s="17">
        <v>-5.3</v>
      </c>
      <c r="K4" s="18">
        <v>-6.2</v>
      </c>
    </row>
    <row r="5" spans="2:11" ht="14.25">
      <c r="B5" s="16">
        <v>3</v>
      </c>
      <c r="C5" s="17">
        <v>-6.2</v>
      </c>
      <c r="D5" s="17">
        <v>-7</v>
      </c>
      <c r="E5" s="18">
        <v>-8.5</v>
      </c>
      <c r="H5" s="16">
        <v>3</v>
      </c>
      <c r="I5" s="17">
        <v>-6.2</v>
      </c>
      <c r="J5" s="17">
        <v>-7</v>
      </c>
      <c r="K5" s="18">
        <v>-8.5</v>
      </c>
    </row>
    <row r="6" spans="2:11" ht="14.25">
      <c r="B6" s="16">
        <v>4</v>
      </c>
      <c r="C6" s="17">
        <v>-7.7</v>
      </c>
      <c r="D6" s="17">
        <v>-9</v>
      </c>
      <c r="E6" s="18">
        <v>-11.1</v>
      </c>
      <c r="H6" s="16">
        <v>4</v>
      </c>
      <c r="I6" s="17">
        <v>-7.7</v>
      </c>
      <c r="J6" s="17">
        <v>-9</v>
      </c>
      <c r="K6" s="18">
        <v>-11.1</v>
      </c>
    </row>
    <row r="7" spans="2:11" ht="14.25">
      <c r="B7" s="16">
        <v>5</v>
      </c>
      <c r="C7" s="17">
        <v>-9.9</v>
      </c>
      <c r="D7" s="17">
        <v>-12.4</v>
      </c>
      <c r="E7" s="18">
        <v>-15.6</v>
      </c>
      <c r="H7" s="16">
        <v>5</v>
      </c>
      <c r="I7" s="17">
        <v>-9.9</v>
      </c>
      <c r="J7" s="17">
        <v>-12.4</v>
      </c>
      <c r="K7" s="18">
        <v>-15.6</v>
      </c>
    </row>
    <row r="8" spans="2:11" ht="14.25">
      <c r="B8" s="16">
        <v>6</v>
      </c>
      <c r="C8" s="17">
        <v>-14.4</v>
      </c>
      <c r="D8" s="17">
        <v>-18.5</v>
      </c>
      <c r="E8" s="18">
        <v>-23</v>
      </c>
      <c r="H8" s="16">
        <v>6</v>
      </c>
      <c r="I8" s="17">
        <v>-14.4</v>
      </c>
      <c r="J8" s="17">
        <v>-18.5</v>
      </c>
      <c r="K8" s="18">
        <v>-23</v>
      </c>
    </row>
    <row r="9" spans="2:11" ht="14.25">
      <c r="B9" s="16">
        <v>7</v>
      </c>
      <c r="C9" s="17">
        <v>-27.8</v>
      </c>
      <c r="D9" s="17">
        <v>-35.200000000000003</v>
      </c>
      <c r="E9" s="18">
        <v>-42.4</v>
      </c>
      <c r="H9" s="16">
        <v>7</v>
      </c>
      <c r="I9" s="17">
        <v>-27.8</v>
      </c>
      <c r="J9" s="17">
        <v>-35.200000000000003</v>
      </c>
      <c r="K9" s="18">
        <v>-42.4</v>
      </c>
    </row>
    <row r="10" spans="2:11" ht="14.25">
      <c r="B10" s="16">
        <v>8</v>
      </c>
      <c r="C10" s="17">
        <v>-109.6</v>
      </c>
      <c r="D10" s="17">
        <v>-101.2</v>
      </c>
      <c r="E10" s="18">
        <v>-95.8</v>
      </c>
      <c r="H10" s="16">
        <v>8</v>
      </c>
      <c r="I10" s="17">
        <v>-109.6</v>
      </c>
      <c r="J10" s="17">
        <v>-101.2</v>
      </c>
      <c r="K10" s="18">
        <v>-95.8</v>
      </c>
    </row>
    <row r="11" spans="2:11" ht="14.25">
      <c r="B11" s="16">
        <v>9</v>
      </c>
      <c r="C11" s="17">
        <v>-155.6</v>
      </c>
      <c r="D11" s="17">
        <v>-147.80000000000001</v>
      </c>
      <c r="E11" s="18">
        <v>-138.6</v>
      </c>
      <c r="H11" s="16">
        <v>9</v>
      </c>
      <c r="I11" s="17">
        <v>-155.6</v>
      </c>
      <c r="J11" s="17">
        <v>-147.80000000000001</v>
      </c>
      <c r="K11" s="18">
        <v>-138.6</v>
      </c>
    </row>
    <row r="12" spans="2:11" ht="14.25">
      <c r="B12" s="16">
        <v>10</v>
      </c>
      <c r="C12" s="17">
        <v>-165.6</v>
      </c>
      <c r="D12" s="17">
        <v>-160.5</v>
      </c>
      <c r="E12" s="18">
        <v>-154.1</v>
      </c>
      <c r="H12" s="16">
        <v>10</v>
      </c>
      <c r="I12" s="17">
        <v>-165.6</v>
      </c>
      <c r="J12" s="17">
        <v>-160.5</v>
      </c>
      <c r="K12" s="18">
        <v>-154.1</v>
      </c>
    </row>
    <row r="13" spans="2:11" ht="14.25">
      <c r="B13" s="16">
        <v>11</v>
      </c>
      <c r="C13" s="17">
        <v>-169.6</v>
      </c>
      <c r="D13" s="17">
        <v>-166</v>
      </c>
      <c r="E13" s="18">
        <v>-162</v>
      </c>
      <c r="H13" s="16">
        <v>11</v>
      </c>
      <c r="I13" s="17">
        <v>-169.6</v>
      </c>
      <c r="J13" s="17">
        <v>-166</v>
      </c>
      <c r="K13" s="18">
        <v>-162</v>
      </c>
    </row>
    <row r="14" spans="2:11" ht="14.25">
      <c r="B14" s="16">
        <v>12</v>
      </c>
      <c r="C14" s="17">
        <v>-171.9</v>
      </c>
      <c r="D14" s="17">
        <v>-169.1</v>
      </c>
      <c r="E14" s="18">
        <v>-165.8</v>
      </c>
      <c r="H14" s="16">
        <v>12</v>
      </c>
      <c r="I14" s="17">
        <v>-171.9</v>
      </c>
      <c r="J14" s="17">
        <v>-169.1</v>
      </c>
      <c r="K14" s="18">
        <v>-165.8</v>
      </c>
    </row>
    <row r="15" spans="2:11" ht="14.25">
      <c r="B15" s="16">
        <v>13</v>
      </c>
      <c r="C15" s="17">
        <v>-173.4</v>
      </c>
      <c r="D15" s="17">
        <v>-171.1</v>
      </c>
      <c r="E15" s="18">
        <v>-168</v>
      </c>
      <c r="H15" s="16">
        <v>13</v>
      </c>
      <c r="I15" s="17">
        <v>-173.4</v>
      </c>
      <c r="J15" s="17">
        <v>-171.1</v>
      </c>
      <c r="K15" s="18">
        <v>-168</v>
      </c>
    </row>
    <row r="16" spans="2:11" ht="14.25">
      <c r="B16" s="16">
        <v>14</v>
      </c>
      <c r="C16" s="17">
        <v>-174.6</v>
      </c>
      <c r="D16" s="17">
        <v>-173.4</v>
      </c>
      <c r="E16" s="18">
        <v>-170</v>
      </c>
      <c r="H16" s="16">
        <v>14</v>
      </c>
      <c r="I16" s="17">
        <v>-174.6</v>
      </c>
      <c r="J16" s="17">
        <v>-173.4</v>
      </c>
      <c r="K16" s="18">
        <v>-170</v>
      </c>
    </row>
    <row r="17" spans="2:11" ht="14.25">
      <c r="B17" s="16">
        <v>15</v>
      </c>
      <c r="C17" s="17">
        <v>-175.5</v>
      </c>
      <c r="D17" s="17">
        <v>-173.8</v>
      </c>
      <c r="E17" s="18">
        <v>-171.4</v>
      </c>
      <c r="H17" s="16">
        <v>15</v>
      </c>
      <c r="I17" s="17">
        <v>-175.5</v>
      </c>
      <c r="J17" s="17">
        <v>-173.8</v>
      </c>
      <c r="K17" s="18">
        <v>-171.4</v>
      </c>
    </row>
    <row r="18" spans="2:11" ht="14.25">
      <c r="B18" s="16">
        <v>20</v>
      </c>
      <c r="C18" s="17">
        <v>-178.3</v>
      </c>
      <c r="D18" s="17">
        <v>-177.2</v>
      </c>
      <c r="E18" s="18">
        <v>-175.7</v>
      </c>
      <c r="H18" s="16">
        <v>20</v>
      </c>
      <c r="I18" s="17">
        <v>-178.3</v>
      </c>
      <c r="J18" s="17">
        <v>-177.2</v>
      </c>
      <c r="K18" s="18">
        <v>-175.7</v>
      </c>
    </row>
    <row r="19" spans="2:11" ht="14.25">
      <c r="B19" s="16">
        <v>25</v>
      </c>
      <c r="C19" s="17">
        <v>-176.9</v>
      </c>
      <c r="D19" s="17">
        <v>-176.2</v>
      </c>
      <c r="E19" s="18">
        <v>-175.1</v>
      </c>
      <c r="H19" s="16">
        <v>25</v>
      </c>
      <c r="I19" s="17">
        <v>-176.9</v>
      </c>
      <c r="J19" s="17">
        <v>-176.2</v>
      </c>
      <c r="K19" s="18">
        <v>-175.1</v>
      </c>
    </row>
    <row r="20" spans="2:11" ht="15" thickBot="1">
      <c r="B20" s="19">
        <v>30</v>
      </c>
      <c r="C20" s="20">
        <v>179.5</v>
      </c>
      <c r="D20" s="20">
        <v>-179.7</v>
      </c>
      <c r="E20" s="21">
        <v>-179</v>
      </c>
      <c r="H20" s="19">
        <v>30</v>
      </c>
      <c r="I20" s="20">
        <v>-180.5</v>
      </c>
      <c r="J20" s="20">
        <v>-179.7</v>
      </c>
      <c r="K20" s="21">
        <v>-179</v>
      </c>
    </row>
    <row r="26" spans="2:11" ht="14.25" thickBot="1"/>
    <row r="27" spans="2:11" ht="15">
      <c r="C27" s="28"/>
      <c r="D27" s="46" t="s">
        <v>37</v>
      </c>
      <c r="E27" s="46"/>
      <c r="F27" s="46"/>
      <c r="G27" s="46"/>
      <c r="H27" s="46"/>
      <c r="I27" s="46" t="s">
        <v>46</v>
      </c>
      <c r="J27" s="46"/>
      <c r="K27" s="47"/>
    </row>
    <row r="28" spans="2:11" ht="16.5">
      <c r="C28" s="29" t="s">
        <v>54</v>
      </c>
      <c r="D28" s="25" t="s">
        <v>43</v>
      </c>
      <c r="E28" s="25" t="s">
        <v>55</v>
      </c>
      <c r="F28" s="25" t="s">
        <v>41</v>
      </c>
      <c r="G28" s="25" t="s">
        <v>56</v>
      </c>
      <c r="H28" s="25" t="s">
        <v>42</v>
      </c>
      <c r="I28" s="25" t="s">
        <v>59</v>
      </c>
      <c r="J28" s="25" t="s">
        <v>58</v>
      </c>
      <c r="K28" s="35" t="s">
        <v>57</v>
      </c>
    </row>
    <row r="29" spans="2:11" ht="16.5">
      <c r="C29" s="29">
        <v>0.6</v>
      </c>
      <c r="D29" s="25">
        <v>7.79</v>
      </c>
      <c r="E29" s="25">
        <v>-82.5</v>
      </c>
      <c r="F29" s="25">
        <v>7.77</v>
      </c>
      <c r="G29" s="25">
        <v>-88.7</v>
      </c>
      <c r="H29" s="25">
        <v>7.82</v>
      </c>
      <c r="I29" s="39">
        <f>E29-G29</f>
        <v>6.2000000000000028</v>
      </c>
      <c r="J29" s="39">
        <f>-(F29-H29)</f>
        <v>5.0000000000000711E-2</v>
      </c>
      <c r="K29" s="37">
        <f>J29/(D29*(I29*3.14159/180))</f>
        <v>5.9314907355168499E-2</v>
      </c>
    </row>
    <row r="30" spans="2:11" ht="16.5">
      <c r="C30" s="29">
        <v>0.8</v>
      </c>
      <c r="D30" s="25">
        <v>7.81</v>
      </c>
      <c r="E30" s="25">
        <v>-81.2</v>
      </c>
      <c r="F30" s="25">
        <v>7.77</v>
      </c>
      <c r="G30" s="25">
        <v>-87.5</v>
      </c>
      <c r="H30" s="25">
        <v>7.84</v>
      </c>
      <c r="I30" s="39">
        <f>E30-G30</f>
        <v>6.2999999999999972</v>
      </c>
      <c r="J30" s="39">
        <f>-(F30-H30)</f>
        <v>7.0000000000000284E-2</v>
      </c>
      <c r="K30" s="37">
        <f>J30/(D30*(I30*3.14159/180))</f>
        <v>8.1513484007395137E-2</v>
      </c>
    </row>
    <row r="31" spans="2:11" ht="17.25" thickBot="1">
      <c r="C31" s="40">
        <v>1</v>
      </c>
      <c r="D31" s="27">
        <v>7.84</v>
      </c>
      <c r="E31" s="27">
        <v>-82.7</v>
      </c>
      <c r="F31" s="36">
        <v>7.8</v>
      </c>
      <c r="G31" s="27">
        <v>-88.3</v>
      </c>
      <c r="H31" s="36">
        <v>7.88</v>
      </c>
      <c r="I31" s="36">
        <f>E31-G31</f>
        <v>5.5999999999999943</v>
      </c>
      <c r="J31" s="36">
        <f>-(F31-H31)</f>
        <v>8.0000000000000071E-2</v>
      </c>
      <c r="K31" s="38">
        <f>J31/(D31*(I31*3.14159/180))</f>
        <v>0.1044020187842527</v>
      </c>
    </row>
  </sheetData>
  <mergeCells count="3">
    <mergeCell ref="C3:E3"/>
    <mergeCell ref="D27:H27"/>
    <mergeCell ref="I27:K27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1:F5"/>
  <sheetViews>
    <sheetView tabSelected="1" workbookViewId="0">
      <selection activeCell="H5" sqref="H5"/>
    </sheetView>
  </sheetViews>
  <sheetFormatPr defaultRowHeight="13.5"/>
  <sheetData>
    <row r="1" spans="2:6" ht="14.25" thickBot="1"/>
    <row r="2" spans="2:6" ht="14.25">
      <c r="B2" s="13"/>
      <c r="C2" s="22" t="s">
        <v>63</v>
      </c>
      <c r="D2" s="22" t="s">
        <v>64</v>
      </c>
      <c r="E2" s="22" t="s">
        <v>65</v>
      </c>
      <c r="F2" s="23" t="s">
        <v>66</v>
      </c>
    </row>
    <row r="3" spans="2:6" ht="14.25">
      <c r="B3" s="16" t="s">
        <v>60</v>
      </c>
      <c r="C3" s="17">
        <v>9.1499999999999998E-2</v>
      </c>
      <c r="D3" s="17">
        <v>5.8299999999999998E-2</v>
      </c>
      <c r="E3" s="17">
        <v>5.6500000000000002E-2</v>
      </c>
      <c r="F3" s="18">
        <v>5.9299999999999999E-2</v>
      </c>
    </row>
    <row r="4" spans="2:6" ht="14.25">
      <c r="B4" s="16" t="s">
        <v>62</v>
      </c>
      <c r="C4" s="17">
        <v>0.12</v>
      </c>
      <c r="D4" s="17">
        <v>8.2000000000000003E-2</v>
      </c>
      <c r="E4" s="17">
        <v>0.08</v>
      </c>
      <c r="F4" s="18">
        <v>8.1500000000000003E-2</v>
      </c>
    </row>
    <row r="5" spans="2:6" ht="15" thickBot="1">
      <c r="B5" s="19" t="s">
        <v>61</v>
      </c>
      <c r="C5" s="20">
        <v>0.14499999999999999</v>
      </c>
      <c r="D5" s="20">
        <v>0.109</v>
      </c>
      <c r="E5" s="20">
        <v>0.105</v>
      </c>
      <c r="F5" s="21">
        <v>0.10440000000000001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0.6</vt:lpstr>
      <vt:lpstr>0.8</vt:lpstr>
      <vt:lpstr>1.0</vt:lpstr>
      <vt:lpstr>1</vt:lpstr>
      <vt:lpstr>2</vt:lpstr>
      <vt:lpstr>3</vt:lpstr>
      <vt:lpstr>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2007-12-11T07:03:07Z</dcterms:modified>
</cp:coreProperties>
</file>