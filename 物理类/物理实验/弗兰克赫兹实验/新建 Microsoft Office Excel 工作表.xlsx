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7" i="1"/>
  <c r="K7"/>
</calcChain>
</file>

<file path=xl/sharedStrings.xml><?xml version="1.0" encoding="utf-8"?>
<sst xmlns="http://schemas.openxmlformats.org/spreadsheetml/2006/main" count="38" uniqueCount="13">
  <si>
    <t>峰值号</t>
    <phoneticPr fontId="1" type="noConversion"/>
  </si>
  <si>
    <t>峰值电压</t>
    <phoneticPr fontId="1" type="noConversion"/>
  </si>
  <si>
    <t>实验条件</t>
    <phoneticPr fontId="1" type="noConversion"/>
  </si>
  <si>
    <t>Uf=2.0V</t>
    <phoneticPr fontId="1" type="noConversion"/>
  </si>
  <si>
    <t>Ug=1.7V</t>
    <phoneticPr fontId="1" type="noConversion"/>
  </si>
  <si>
    <t>Ur</t>
    <phoneticPr fontId="1" type="noConversion"/>
  </si>
  <si>
    <t>坐标Ua/Ip</t>
    <phoneticPr fontId="1" type="noConversion"/>
  </si>
  <si>
    <t>Ua</t>
    <phoneticPr fontId="1" type="noConversion"/>
  </si>
  <si>
    <t>Ip</t>
    <phoneticPr fontId="1" type="noConversion"/>
  </si>
  <si>
    <t>峰号值</t>
    <phoneticPr fontId="1" type="noConversion"/>
  </si>
  <si>
    <t>Ur=9.8V</t>
    <phoneticPr fontId="1" type="noConversion"/>
  </si>
  <si>
    <t>Ug</t>
    <phoneticPr fontId="1" type="noConversion"/>
  </si>
  <si>
    <t>Uf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</si>
</sst>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峰值电压</a:t>
            </a:r>
            <a:r>
              <a:rPr lang="en-US" altLang="zh-CN"/>
              <a:t>Ua--</a:t>
            </a:r>
            <a:r>
              <a:rPr lang="zh-CN" altLang="en-US"/>
              <a:t>峰值号</a:t>
            </a:r>
            <a:r>
              <a:rPr lang="en-US" altLang="zh-CN"/>
              <a:t>i</a:t>
            </a:r>
            <a:r>
              <a:rPr lang="zh-CN" altLang="en-US"/>
              <a:t>曲线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0048541229643591"/>
                  <c:y val="0.28934018664333627"/>
                </c:manualLayout>
              </c:layout>
              <c:numFmt formatCode="General" sourceLinked="0"/>
            </c:trendlineLbl>
          </c:trendline>
          <c:xVal>
            <c:numRef>
              <c:f>Sheet1!$B$1:$H$1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Sheet1!$B$2:$H$2</c:f>
              <c:numCache>
                <c:formatCode>General</c:formatCode>
                <c:ptCount val="7"/>
                <c:pt idx="0">
                  <c:v>7.16</c:v>
                </c:pt>
                <c:pt idx="1">
                  <c:v>19</c:v>
                </c:pt>
                <c:pt idx="2">
                  <c:v>30.08</c:v>
                </c:pt>
                <c:pt idx="3">
                  <c:v>42.05</c:v>
                </c:pt>
                <c:pt idx="4">
                  <c:v>53.91</c:v>
                </c:pt>
                <c:pt idx="5">
                  <c:v>66.73</c:v>
                </c:pt>
                <c:pt idx="6">
                  <c:v>78.819999999999993</c:v>
                </c:pt>
              </c:numCache>
            </c:numRef>
          </c:yVal>
        </c:ser>
        <c:axId val="68736896"/>
        <c:axId val="69476352"/>
      </c:scatterChart>
      <c:valAx>
        <c:axId val="68736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峰值号</a:t>
                </a:r>
                <a:r>
                  <a:rPr lang="en-US" altLang="zh-CN"/>
                  <a:t>i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69476352"/>
        <c:crosses val="autoZero"/>
        <c:crossBetween val="midCat"/>
      </c:valAx>
      <c:valAx>
        <c:axId val="694763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峰值电压</a:t>
                </a:r>
                <a:r>
                  <a:rPr lang="en-US" altLang="zh-CN"/>
                  <a:t>Ua/V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68736896"/>
        <c:crosses val="autoZero"/>
        <c:crossBetween val="midCat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sz="1800" b="1"/>
              <a:t>Ur</a:t>
            </a:r>
            <a:r>
              <a:rPr lang="zh-CN" sz="1800" b="1"/>
              <a:t>对</a:t>
            </a:r>
            <a:r>
              <a:rPr lang="en-US" sz="1800" b="1"/>
              <a:t>Ua—Ip</a:t>
            </a:r>
            <a:r>
              <a:rPr lang="zh-CN" sz="1800" b="1"/>
              <a:t>曲线的影响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Ur=8.5V</c:v>
          </c:tx>
          <c:xVal>
            <c:numRef>
              <c:f>Sheet1!$D$26:$G$26</c:f>
              <c:numCache>
                <c:formatCode>General</c:formatCode>
                <c:ptCount val="4"/>
                <c:pt idx="0">
                  <c:v>18.600000000000001</c:v>
                </c:pt>
                <c:pt idx="1">
                  <c:v>29.3</c:v>
                </c:pt>
                <c:pt idx="2">
                  <c:v>41.2</c:v>
                </c:pt>
                <c:pt idx="3">
                  <c:v>53.3</c:v>
                </c:pt>
              </c:numCache>
            </c:numRef>
          </c:xVal>
          <c:yVal>
            <c:numRef>
              <c:f>Sheet1!$D$27:$G$27</c:f>
              <c:numCache>
                <c:formatCode>General</c:formatCode>
                <c:ptCount val="4"/>
                <c:pt idx="0">
                  <c:v>8</c:v>
                </c:pt>
                <c:pt idx="1">
                  <c:v>17.2</c:v>
                </c:pt>
                <c:pt idx="2">
                  <c:v>25.6</c:v>
                </c:pt>
                <c:pt idx="3">
                  <c:v>33.1</c:v>
                </c:pt>
              </c:numCache>
            </c:numRef>
          </c:yVal>
          <c:smooth val="1"/>
        </c:ser>
        <c:ser>
          <c:idx val="1"/>
          <c:order val="1"/>
          <c:tx>
            <c:v>Ur=9.8V</c:v>
          </c:tx>
          <c:xVal>
            <c:numRef>
              <c:f>Sheet1!$D$28:$G$28</c:f>
              <c:numCache>
                <c:formatCode>General</c:formatCode>
                <c:ptCount val="4"/>
                <c:pt idx="0">
                  <c:v>18.899999999999999</c:v>
                </c:pt>
                <c:pt idx="1">
                  <c:v>29.8</c:v>
                </c:pt>
                <c:pt idx="2">
                  <c:v>41.4</c:v>
                </c:pt>
                <c:pt idx="3">
                  <c:v>53.1</c:v>
                </c:pt>
              </c:numCache>
            </c:numRef>
          </c:xVal>
          <c:yVal>
            <c:numRef>
              <c:f>Sheet1!$D$29:$G$29</c:f>
              <c:numCache>
                <c:formatCode>General</c:formatCode>
                <c:ptCount val="4"/>
                <c:pt idx="0">
                  <c:v>5</c:v>
                </c:pt>
                <c:pt idx="1">
                  <c:v>14.7</c:v>
                </c:pt>
                <c:pt idx="2">
                  <c:v>23.9</c:v>
                </c:pt>
                <c:pt idx="3">
                  <c:v>30.7</c:v>
                </c:pt>
              </c:numCache>
            </c:numRef>
          </c:yVal>
          <c:smooth val="1"/>
        </c:ser>
        <c:ser>
          <c:idx val="2"/>
          <c:order val="2"/>
          <c:tx>
            <c:v>Ur=11V</c:v>
          </c:tx>
          <c:xVal>
            <c:numRef>
              <c:f>Sheet1!$D$30:$G$30</c:f>
              <c:numCache>
                <c:formatCode>General</c:formatCode>
                <c:ptCount val="4"/>
                <c:pt idx="0">
                  <c:v>18.7</c:v>
                </c:pt>
                <c:pt idx="1">
                  <c:v>29.9</c:v>
                </c:pt>
                <c:pt idx="2">
                  <c:v>41.4</c:v>
                </c:pt>
                <c:pt idx="3">
                  <c:v>53.4</c:v>
                </c:pt>
              </c:numCache>
            </c:numRef>
          </c:xVal>
          <c:yVal>
            <c:numRef>
              <c:f>Sheet1!$D$31:$G$31</c:f>
              <c:numCache>
                <c:formatCode>General</c:formatCode>
                <c:ptCount val="4"/>
                <c:pt idx="0">
                  <c:v>3.2</c:v>
                </c:pt>
                <c:pt idx="1">
                  <c:v>9.1</c:v>
                </c:pt>
                <c:pt idx="2">
                  <c:v>15.2</c:v>
                </c:pt>
                <c:pt idx="3">
                  <c:v>20</c:v>
                </c:pt>
              </c:numCache>
            </c:numRef>
          </c:yVal>
          <c:smooth val="1"/>
        </c:ser>
        <c:axId val="69510272"/>
        <c:axId val="69512192"/>
      </c:scatterChart>
      <c:valAx>
        <c:axId val="69510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1600"/>
                  <a:t>Ua/V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69512192"/>
        <c:crosses val="autoZero"/>
        <c:crossBetween val="midCat"/>
      </c:valAx>
      <c:valAx>
        <c:axId val="6951219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1600"/>
                  <a:t>Ip/10e-8A</a:t>
                </a:r>
                <a:endParaRPr lang="zh-CN" altLang="en-US" sz="1600"/>
              </a:p>
            </c:rich>
          </c:tx>
          <c:layout/>
        </c:title>
        <c:numFmt formatCode="General" sourceLinked="1"/>
        <c:majorTickMark val="none"/>
        <c:tickLblPos val="nextTo"/>
        <c:crossAx val="695102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sz="1800" b="1"/>
              <a:t>Ug</a:t>
            </a:r>
            <a:r>
              <a:rPr lang="zh-CN" sz="1800" b="1"/>
              <a:t>对</a:t>
            </a:r>
            <a:r>
              <a:rPr lang="en-US" sz="1800" b="1"/>
              <a:t>Ua—Ip</a:t>
            </a:r>
            <a:r>
              <a:rPr lang="zh-CN" sz="1800" b="1"/>
              <a:t>曲线的影响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Ug=1.2V</c:v>
          </c:tx>
          <c:xVal>
            <c:numRef>
              <c:f>Sheet1!$M$26:$O$26</c:f>
              <c:numCache>
                <c:formatCode>General</c:formatCode>
                <c:ptCount val="3"/>
                <c:pt idx="0">
                  <c:v>29.8</c:v>
                </c:pt>
                <c:pt idx="1">
                  <c:v>41.5</c:v>
                </c:pt>
                <c:pt idx="2">
                  <c:v>53.6</c:v>
                </c:pt>
              </c:numCache>
            </c:numRef>
          </c:xVal>
          <c:yVal>
            <c:numRef>
              <c:f>Sheet1!$M$27:$O$27</c:f>
              <c:numCache>
                <c:formatCode>General</c:formatCode>
                <c:ptCount val="3"/>
                <c:pt idx="0">
                  <c:v>2.4</c:v>
                </c:pt>
                <c:pt idx="1">
                  <c:v>10.5</c:v>
                </c:pt>
                <c:pt idx="2">
                  <c:v>17</c:v>
                </c:pt>
              </c:numCache>
            </c:numRef>
          </c:yVal>
          <c:smooth val="1"/>
        </c:ser>
        <c:ser>
          <c:idx val="1"/>
          <c:order val="1"/>
          <c:tx>
            <c:v>Ug=1.7</c:v>
          </c:tx>
          <c:xVal>
            <c:numRef>
              <c:f>Sheet1!$L$28:$O$28</c:f>
              <c:numCache>
                <c:formatCode>General</c:formatCode>
                <c:ptCount val="4"/>
                <c:pt idx="0">
                  <c:v>18.899999999999999</c:v>
                </c:pt>
                <c:pt idx="1">
                  <c:v>29.8</c:v>
                </c:pt>
                <c:pt idx="2">
                  <c:v>41.4</c:v>
                </c:pt>
                <c:pt idx="3">
                  <c:v>53.1</c:v>
                </c:pt>
              </c:numCache>
            </c:numRef>
          </c:xVal>
          <c:yVal>
            <c:numRef>
              <c:f>Sheet1!$L$29:$O$29</c:f>
              <c:numCache>
                <c:formatCode>General</c:formatCode>
                <c:ptCount val="4"/>
                <c:pt idx="0">
                  <c:v>5</c:v>
                </c:pt>
                <c:pt idx="1">
                  <c:v>14.7</c:v>
                </c:pt>
                <c:pt idx="2">
                  <c:v>23.9</c:v>
                </c:pt>
                <c:pt idx="3">
                  <c:v>30.7</c:v>
                </c:pt>
              </c:numCache>
            </c:numRef>
          </c:yVal>
          <c:smooth val="1"/>
        </c:ser>
        <c:ser>
          <c:idx val="2"/>
          <c:order val="2"/>
          <c:tx>
            <c:v>Ug=2.2V</c:v>
          </c:tx>
          <c:xVal>
            <c:numRef>
              <c:f>Sheet1!$L$30:$O$30</c:f>
              <c:numCache>
                <c:formatCode>General</c:formatCode>
                <c:ptCount val="4"/>
                <c:pt idx="0">
                  <c:v>18.5</c:v>
                </c:pt>
                <c:pt idx="1">
                  <c:v>29.2</c:v>
                </c:pt>
                <c:pt idx="2">
                  <c:v>41.1</c:v>
                </c:pt>
                <c:pt idx="3">
                  <c:v>53.4</c:v>
                </c:pt>
              </c:numCache>
            </c:numRef>
          </c:xVal>
          <c:yVal>
            <c:numRef>
              <c:f>Sheet1!$L$31:$O$31</c:f>
              <c:numCache>
                <c:formatCode>General</c:formatCode>
                <c:ptCount val="4"/>
                <c:pt idx="0">
                  <c:v>2.5</c:v>
                </c:pt>
                <c:pt idx="1">
                  <c:v>11.2</c:v>
                </c:pt>
                <c:pt idx="2">
                  <c:v>21</c:v>
                </c:pt>
                <c:pt idx="3">
                  <c:v>25</c:v>
                </c:pt>
              </c:numCache>
            </c:numRef>
          </c:yVal>
          <c:smooth val="1"/>
        </c:ser>
        <c:axId val="69567232"/>
        <c:axId val="69569152"/>
      </c:scatterChart>
      <c:valAx>
        <c:axId val="69567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 b="1" i="0" baseline="0"/>
                  <a:t>Ua/V</a:t>
                </a:r>
                <a:endParaRPr lang="zh-CN" sz="1600"/>
              </a:p>
            </c:rich>
          </c:tx>
          <c:layout/>
        </c:title>
        <c:numFmt formatCode="General" sourceLinked="1"/>
        <c:majorTickMark val="none"/>
        <c:tickLblPos val="nextTo"/>
        <c:crossAx val="69569152"/>
        <c:crosses val="autoZero"/>
        <c:crossBetween val="midCat"/>
      </c:valAx>
      <c:valAx>
        <c:axId val="695691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 b="1" i="0" baseline="0"/>
                  <a:t>Ip/10e-8A</a:t>
                </a:r>
                <a:endParaRPr lang="zh-CN" sz="1600" b="1" i="0" baseline="0"/>
              </a:p>
            </c:rich>
          </c:tx>
          <c:layout/>
        </c:title>
        <c:numFmt formatCode="General" sourceLinked="1"/>
        <c:majorTickMark val="none"/>
        <c:tickLblPos val="nextTo"/>
        <c:crossAx val="695672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Uf</a:t>
            </a:r>
            <a:r>
              <a:rPr lang="zh-CN" sz="1800" b="1" i="0" baseline="0"/>
              <a:t>对</a:t>
            </a:r>
            <a:r>
              <a:rPr lang="en-US" sz="1800" b="1" i="0" baseline="0"/>
              <a:t>Ua—Ip</a:t>
            </a:r>
            <a:r>
              <a:rPr lang="zh-CN" sz="1800" b="1" i="0" baseline="0"/>
              <a:t>曲线的影响</a:t>
            </a:r>
            <a:endParaRPr lang="zh-CN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Uf=1.8V</c:v>
          </c:tx>
          <c:xVal>
            <c:numRef>
              <c:f>Sheet1!$T$26:$W$26</c:f>
              <c:numCache>
                <c:formatCode>General</c:formatCode>
                <c:ptCount val="4"/>
                <c:pt idx="0">
                  <c:v>18.899999999999999</c:v>
                </c:pt>
                <c:pt idx="1">
                  <c:v>29.7</c:v>
                </c:pt>
                <c:pt idx="2">
                  <c:v>41.7</c:v>
                </c:pt>
                <c:pt idx="3">
                  <c:v>53.6</c:v>
                </c:pt>
              </c:numCache>
            </c:numRef>
          </c:xVal>
          <c:yVal>
            <c:numRef>
              <c:f>Sheet1!$T$27:$W$27</c:f>
              <c:numCache>
                <c:formatCode>General</c:formatCode>
                <c:ptCount val="4"/>
                <c:pt idx="0">
                  <c:v>3.1</c:v>
                </c:pt>
                <c:pt idx="1">
                  <c:v>6.8</c:v>
                </c:pt>
                <c:pt idx="2">
                  <c:v>9</c:v>
                </c:pt>
                <c:pt idx="3">
                  <c:v>10.1</c:v>
                </c:pt>
              </c:numCache>
            </c:numRef>
          </c:yVal>
          <c:smooth val="1"/>
        </c:ser>
        <c:ser>
          <c:idx val="1"/>
          <c:order val="1"/>
          <c:tx>
            <c:v>Uf=2.0V</c:v>
          </c:tx>
          <c:xVal>
            <c:numRef>
              <c:f>Sheet1!$T$28:$W$28</c:f>
              <c:numCache>
                <c:formatCode>General</c:formatCode>
                <c:ptCount val="4"/>
                <c:pt idx="0">
                  <c:v>18.899999999999999</c:v>
                </c:pt>
                <c:pt idx="1">
                  <c:v>29.8</c:v>
                </c:pt>
                <c:pt idx="2">
                  <c:v>41.4</c:v>
                </c:pt>
                <c:pt idx="3">
                  <c:v>53.1</c:v>
                </c:pt>
              </c:numCache>
            </c:numRef>
          </c:xVal>
          <c:yVal>
            <c:numRef>
              <c:f>Sheet1!$T$29:$W$29</c:f>
              <c:numCache>
                <c:formatCode>General</c:formatCode>
                <c:ptCount val="4"/>
                <c:pt idx="0">
                  <c:v>5</c:v>
                </c:pt>
                <c:pt idx="1">
                  <c:v>14.7</c:v>
                </c:pt>
                <c:pt idx="2">
                  <c:v>23.9</c:v>
                </c:pt>
                <c:pt idx="3">
                  <c:v>30.7</c:v>
                </c:pt>
              </c:numCache>
            </c:numRef>
          </c:yVal>
          <c:smooth val="1"/>
        </c:ser>
        <c:ser>
          <c:idx val="2"/>
          <c:order val="2"/>
          <c:tx>
            <c:v>Uf=2.2V</c:v>
          </c:tx>
          <c:xVal>
            <c:numRef>
              <c:f>Sheet1!$T$30:$W$30</c:f>
              <c:numCache>
                <c:formatCode>General</c:formatCode>
                <c:ptCount val="4"/>
                <c:pt idx="0">
                  <c:v>19</c:v>
                </c:pt>
                <c:pt idx="1">
                  <c:v>29.7</c:v>
                </c:pt>
                <c:pt idx="2">
                  <c:v>41.6</c:v>
                </c:pt>
                <c:pt idx="3">
                  <c:v>53.4</c:v>
                </c:pt>
              </c:numCache>
            </c:numRef>
          </c:xVal>
          <c:yVal>
            <c:numRef>
              <c:f>Sheet1!$T$31:$W$31</c:f>
              <c:numCache>
                <c:formatCode>General</c:formatCode>
                <c:ptCount val="4"/>
                <c:pt idx="0">
                  <c:v>17.100000000000001</c:v>
                </c:pt>
                <c:pt idx="1">
                  <c:v>23.2</c:v>
                </c:pt>
                <c:pt idx="2">
                  <c:v>30.4</c:v>
                </c:pt>
                <c:pt idx="3">
                  <c:v>36.200000000000003</c:v>
                </c:pt>
              </c:numCache>
            </c:numRef>
          </c:yVal>
          <c:smooth val="1"/>
        </c:ser>
        <c:axId val="69686784"/>
        <c:axId val="69688704"/>
      </c:scatterChart>
      <c:valAx>
        <c:axId val="6968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Ua/V</a:t>
                </a:r>
                <a:endParaRPr lang="zh-CN" sz="1800" b="1" i="0" baseline="0"/>
              </a:p>
            </c:rich>
          </c:tx>
          <c:layout/>
        </c:title>
        <c:numFmt formatCode="General" sourceLinked="1"/>
        <c:majorTickMark val="none"/>
        <c:tickLblPos val="nextTo"/>
        <c:crossAx val="69688704"/>
        <c:crosses val="autoZero"/>
        <c:crossBetween val="midCat"/>
      </c:valAx>
      <c:valAx>
        <c:axId val="6968870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Ip/10e-8A</a:t>
                </a:r>
                <a:endParaRPr lang="zh-CN" sz="1800" b="1" i="0" baseline="0"/>
              </a:p>
            </c:rich>
          </c:tx>
          <c:layout/>
        </c:title>
        <c:numFmt formatCode="General" sourceLinked="1"/>
        <c:majorTickMark val="none"/>
        <c:tickLblPos val="nextTo"/>
        <c:crossAx val="696867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0</xdr:rowOff>
    </xdr:from>
    <xdr:to>
      <xdr:col>7</xdr:col>
      <xdr:colOff>152400</xdr:colOff>
      <xdr:row>19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31</xdr:row>
      <xdr:rowOff>123825</xdr:rowOff>
    </xdr:from>
    <xdr:to>
      <xdr:col>7</xdr:col>
      <xdr:colOff>28575</xdr:colOff>
      <xdr:row>47</xdr:row>
      <xdr:rowOff>123825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32</xdr:row>
      <xdr:rowOff>47625</xdr:rowOff>
    </xdr:from>
    <xdr:to>
      <xdr:col>15</xdr:col>
      <xdr:colOff>342900</xdr:colOff>
      <xdr:row>48</xdr:row>
      <xdr:rowOff>47625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352425</xdr:colOff>
      <xdr:row>32</xdr:row>
      <xdr:rowOff>114300</xdr:rowOff>
    </xdr:from>
    <xdr:to>
      <xdr:col>23</xdr:col>
      <xdr:colOff>123825</xdr:colOff>
      <xdr:row>48</xdr:row>
      <xdr:rowOff>114300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J22" workbookViewId="0">
      <selection activeCell="L31" sqref="L31:O31"/>
    </sheetView>
  </sheetViews>
  <sheetFormatPr defaultRowHeight="13.5"/>
  <sheetData>
    <row r="1" spans="1:1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12">
      <c r="A2" t="s">
        <v>1</v>
      </c>
      <c r="B2">
        <v>7.16</v>
      </c>
      <c r="C2">
        <v>19</v>
      </c>
      <c r="D2">
        <v>30.08</v>
      </c>
      <c r="E2">
        <v>42.05</v>
      </c>
      <c r="F2">
        <v>53.91</v>
      </c>
      <c r="G2">
        <v>66.73</v>
      </c>
      <c r="H2">
        <v>78.819999999999993</v>
      </c>
    </row>
    <row r="3" spans="1:12">
      <c r="L3">
        <v>34.89</v>
      </c>
    </row>
    <row r="4" spans="1:12">
      <c r="L4">
        <v>34.909999999999997</v>
      </c>
    </row>
    <row r="5" spans="1:12">
      <c r="L5">
        <v>36.65</v>
      </c>
    </row>
    <row r="6" spans="1:12">
      <c r="L6">
        <v>36.770000000000003</v>
      </c>
    </row>
    <row r="7" spans="1:12">
      <c r="K7">
        <f>STDEVPA(L3,L4,L5,L6)</f>
        <v>0.90602152292322202</v>
      </c>
      <c r="L7">
        <f>SUM(L3:L6)</f>
        <v>143.22</v>
      </c>
    </row>
    <row r="23" spans="2:23">
      <c r="B23" t="s">
        <v>2</v>
      </c>
      <c r="C23" t="s">
        <v>3</v>
      </c>
      <c r="D23" s="2" t="s">
        <v>4</v>
      </c>
      <c r="E23" s="2"/>
      <c r="F23" s="2"/>
      <c r="G23" s="2"/>
      <c r="J23" t="s">
        <v>2</v>
      </c>
      <c r="K23" t="s">
        <v>3</v>
      </c>
      <c r="L23" s="2" t="s">
        <v>10</v>
      </c>
      <c r="M23" s="2"/>
      <c r="N23" s="2"/>
      <c r="O23" s="2"/>
      <c r="R23" t="s">
        <v>2</v>
      </c>
      <c r="S23" t="s">
        <v>4</v>
      </c>
      <c r="T23" s="2" t="s">
        <v>10</v>
      </c>
      <c r="U23" s="2"/>
      <c r="V23" s="2"/>
      <c r="W23" s="2"/>
    </row>
    <row r="24" spans="2:23">
      <c r="B24" s="1" t="s">
        <v>5</v>
      </c>
      <c r="C24" s="1" t="s">
        <v>6</v>
      </c>
      <c r="D24" s="2" t="s">
        <v>9</v>
      </c>
      <c r="E24" s="2"/>
      <c r="F24" s="2"/>
      <c r="G24" s="2"/>
      <c r="J24" s="1" t="s">
        <v>11</v>
      </c>
      <c r="K24" s="1" t="s">
        <v>6</v>
      </c>
      <c r="L24" s="2" t="s">
        <v>9</v>
      </c>
      <c r="M24" s="2"/>
      <c r="N24" s="2"/>
      <c r="O24" s="2"/>
      <c r="R24" s="1" t="s">
        <v>12</v>
      </c>
      <c r="S24" s="1" t="s">
        <v>6</v>
      </c>
      <c r="T24" s="2" t="s">
        <v>9</v>
      </c>
      <c r="U24" s="2"/>
      <c r="V24" s="2"/>
      <c r="W24" s="2"/>
    </row>
    <row r="25" spans="2:23">
      <c r="B25" s="1"/>
      <c r="C25" s="1"/>
      <c r="D25">
        <v>1</v>
      </c>
      <c r="E25">
        <v>2</v>
      </c>
      <c r="F25">
        <v>3</v>
      </c>
      <c r="G25">
        <v>4</v>
      </c>
      <c r="J25" s="1"/>
      <c r="K25" s="1"/>
      <c r="L25">
        <v>1</v>
      </c>
      <c r="M25">
        <v>2</v>
      </c>
      <c r="N25">
        <v>3</v>
      </c>
      <c r="O25">
        <v>4</v>
      </c>
      <c r="R25" s="1"/>
      <c r="S25" s="1"/>
      <c r="T25">
        <v>1</v>
      </c>
      <c r="U25">
        <v>2</v>
      </c>
      <c r="V25">
        <v>3</v>
      </c>
      <c r="W25">
        <v>4</v>
      </c>
    </row>
    <row r="26" spans="2:23">
      <c r="B26" s="1">
        <v>8.5</v>
      </c>
      <c r="C26" t="s">
        <v>7</v>
      </c>
      <c r="D26">
        <v>18.600000000000001</v>
      </c>
      <c r="E26">
        <v>29.3</v>
      </c>
      <c r="F26">
        <v>41.2</v>
      </c>
      <c r="G26">
        <v>53.3</v>
      </c>
      <c r="J26" s="1">
        <v>1.2</v>
      </c>
      <c r="K26" t="s">
        <v>7</v>
      </c>
      <c r="M26">
        <v>29.8</v>
      </c>
      <c r="N26">
        <v>41.5</v>
      </c>
      <c r="O26">
        <v>53.6</v>
      </c>
      <c r="R26" s="1">
        <v>1.8</v>
      </c>
      <c r="S26" t="s">
        <v>7</v>
      </c>
      <c r="T26">
        <v>18.899999999999999</v>
      </c>
      <c r="U26">
        <v>29.7</v>
      </c>
      <c r="V26">
        <v>41.7</v>
      </c>
      <c r="W26">
        <v>53.6</v>
      </c>
    </row>
    <row r="27" spans="2:23">
      <c r="B27" s="1"/>
      <c r="C27" t="s">
        <v>8</v>
      </c>
      <c r="D27">
        <v>8</v>
      </c>
      <c r="E27">
        <v>17.2</v>
      </c>
      <c r="F27">
        <v>25.6</v>
      </c>
      <c r="G27">
        <v>33.1</v>
      </c>
      <c r="J27" s="1"/>
      <c r="K27" t="s">
        <v>8</v>
      </c>
      <c r="M27">
        <v>2.4</v>
      </c>
      <c r="N27">
        <v>10.5</v>
      </c>
      <c r="O27">
        <v>17</v>
      </c>
      <c r="R27" s="1"/>
      <c r="S27" t="s">
        <v>8</v>
      </c>
      <c r="T27">
        <v>3.1</v>
      </c>
      <c r="U27">
        <v>6.8</v>
      </c>
      <c r="V27">
        <v>9</v>
      </c>
      <c r="W27">
        <v>10.1</v>
      </c>
    </row>
    <row r="28" spans="2:23">
      <c r="B28" s="1">
        <v>9.8000000000000007</v>
      </c>
      <c r="C28" t="s">
        <v>7</v>
      </c>
      <c r="D28">
        <v>18.899999999999999</v>
      </c>
      <c r="E28">
        <v>29.8</v>
      </c>
      <c r="F28">
        <v>41.4</v>
      </c>
      <c r="G28">
        <v>53.1</v>
      </c>
      <c r="J28" s="1">
        <v>1.7</v>
      </c>
      <c r="K28" t="s">
        <v>7</v>
      </c>
      <c r="L28">
        <v>18.899999999999999</v>
      </c>
      <c r="M28">
        <v>29.8</v>
      </c>
      <c r="N28">
        <v>41.4</v>
      </c>
      <c r="O28">
        <v>53.1</v>
      </c>
      <c r="R28" s="1">
        <v>2</v>
      </c>
      <c r="S28" t="s">
        <v>7</v>
      </c>
      <c r="T28">
        <v>18.899999999999999</v>
      </c>
      <c r="U28">
        <v>29.8</v>
      </c>
      <c r="V28">
        <v>41.4</v>
      </c>
      <c r="W28">
        <v>53.1</v>
      </c>
    </row>
    <row r="29" spans="2:23">
      <c r="B29" s="1"/>
      <c r="C29" t="s">
        <v>8</v>
      </c>
      <c r="D29">
        <v>5</v>
      </c>
      <c r="E29">
        <v>14.7</v>
      </c>
      <c r="F29">
        <v>23.9</v>
      </c>
      <c r="G29">
        <v>30.7</v>
      </c>
      <c r="J29" s="1"/>
      <c r="K29" t="s">
        <v>8</v>
      </c>
      <c r="L29">
        <v>5</v>
      </c>
      <c r="M29">
        <v>14.7</v>
      </c>
      <c r="N29">
        <v>23.9</v>
      </c>
      <c r="O29">
        <v>30.7</v>
      </c>
      <c r="R29" s="1"/>
      <c r="S29" t="s">
        <v>8</v>
      </c>
      <c r="T29">
        <v>5</v>
      </c>
      <c r="U29">
        <v>14.7</v>
      </c>
      <c r="V29">
        <v>23.9</v>
      </c>
      <c r="W29">
        <v>30.7</v>
      </c>
    </row>
    <row r="30" spans="2:23">
      <c r="B30" s="1">
        <v>11</v>
      </c>
      <c r="C30" t="s">
        <v>7</v>
      </c>
      <c r="D30">
        <v>18.7</v>
      </c>
      <c r="E30">
        <v>29.9</v>
      </c>
      <c r="F30">
        <v>41.4</v>
      </c>
      <c r="G30">
        <v>53.4</v>
      </c>
      <c r="J30" s="1">
        <v>2.2000000000000002</v>
      </c>
      <c r="K30" t="s">
        <v>7</v>
      </c>
      <c r="L30">
        <v>18.5</v>
      </c>
      <c r="M30">
        <v>29.2</v>
      </c>
      <c r="N30">
        <v>41.1</v>
      </c>
      <c r="O30">
        <v>53.4</v>
      </c>
      <c r="R30" s="1">
        <v>2.2000000000000002</v>
      </c>
      <c r="S30" t="s">
        <v>7</v>
      </c>
      <c r="T30">
        <v>19</v>
      </c>
      <c r="U30">
        <v>29.7</v>
      </c>
      <c r="V30">
        <v>41.6</v>
      </c>
      <c r="W30">
        <v>53.4</v>
      </c>
    </row>
    <row r="31" spans="2:23">
      <c r="B31" s="1"/>
      <c r="C31" t="s">
        <v>8</v>
      </c>
      <c r="D31">
        <v>3.2</v>
      </c>
      <c r="E31">
        <v>9.1</v>
      </c>
      <c r="F31">
        <v>15.2</v>
      </c>
      <c r="G31">
        <v>20</v>
      </c>
      <c r="J31" s="1"/>
      <c r="K31" t="s">
        <v>8</v>
      </c>
      <c r="L31">
        <v>2.5</v>
      </c>
      <c r="M31">
        <v>11.2</v>
      </c>
      <c r="N31">
        <v>21</v>
      </c>
      <c r="O31">
        <v>25</v>
      </c>
      <c r="R31" s="1"/>
      <c r="S31" t="s">
        <v>8</v>
      </c>
      <c r="T31">
        <v>17.100000000000001</v>
      </c>
      <c r="U31">
        <v>23.2</v>
      </c>
      <c r="V31">
        <v>30.4</v>
      </c>
      <c r="W31">
        <v>36.200000000000003</v>
      </c>
    </row>
  </sheetData>
  <mergeCells count="21">
    <mergeCell ref="B28:B29"/>
    <mergeCell ref="B30:B31"/>
    <mergeCell ref="B24:B25"/>
    <mergeCell ref="C24:C25"/>
    <mergeCell ref="J30:J31"/>
    <mergeCell ref="J24:J25"/>
    <mergeCell ref="J26:J27"/>
    <mergeCell ref="J28:J29"/>
    <mergeCell ref="T23:W23"/>
    <mergeCell ref="R24:R25"/>
    <mergeCell ref="S24:S25"/>
    <mergeCell ref="T24:W24"/>
    <mergeCell ref="B26:B27"/>
    <mergeCell ref="L23:O23"/>
    <mergeCell ref="K24:K25"/>
    <mergeCell ref="L24:O24"/>
    <mergeCell ref="R26:R27"/>
    <mergeCell ref="R28:R29"/>
    <mergeCell ref="R30:R31"/>
    <mergeCell ref="D23:G23"/>
    <mergeCell ref="D24:G2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2008-05-31T17:16:36Z</dcterms:modified>
</cp:coreProperties>
</file>