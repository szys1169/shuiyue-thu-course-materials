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9395" windowHeight="71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2" i="1" l="1"/>
  <c r="G11" i="1"/>
  <c r="H11" i="1" s="1"/>
  <c r="H12" i="1"/>
  <c r="D12" i="1"/>
  <c r="D11" i="1"/>
  <c r="I5" i="1"/>
  <c r="I4" i="1"/>
  <c r="J4" i="1" s="1"/>
  <c r="J5" i="1"/>
  <c r="H5" i="1"/>
  <c r="H4" i="1"/>
  <c r="G5" i="1"/>
  <c r="G4" i="1"/>
  <c r="E5" i="1"/>
  <c r="E4" i="1"/>
  <c r="D5" i="1"/>
  <c r="D4" i="1"/>
</calcChain>
</file>

<file path=xl/sharedStrings.xml><?xml version="1.0" encoding="utf-8"?>
<sst xmlns="http://schemas.openxmlformats.org/spreadsheetml/2006/main" count="26" uniqueCount="26">
  <si>
    <t>F1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</si>
  <si>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</si>
  <si>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</si>
  <si>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</si>
  <si>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铅直力之和F</t>
    <phoneticPr fontId="2" type="noConversion"/>
  </si>
  <si>
    <t>B1</t>
    <phoneticPr fontId="2" type="noConversion"/>
  </si>
  <si>
    <t>B2</t>
    <phoneticPr fontId="2" type="noConversion"/>
  </si>
  <si>
    <t>重力坝（1）</t>
    <phoneticPr fontId="2" type="noConversion"/>
  </si>
  <si>
    <t>重力坝（2）</t>
    <phoneticPr fontId="2" type="noConversion"/>
  </si>
  <si>
    <t>对坝址力矩之和M</t>
    <phoneticPr fontId="2" type="noConversion"/>
  </si>
  <si>
    <t>M/F</t>
    <phoneticPr fontId="2" type="noConversion"/>
  </si>
  <si>
    <t>安全判断</t>
    <phoneticPr fontId="2" type="noConversion"/>
  </si>
  <si>
    <t>Over Stability</t>
    <phoneticPr fontId="2" type="noConversion"/>
  </si>
  <si>
    <t>重力坝（1）</t>
    <phoneticPr fontId="2" type="noConversion"/>
  </si>
  <si>
    <t>重力坝（2）</t>
    <phoneticPr fontId="2" type="noConversion"/>
  </si>
  <si>
    <t>Sliding Stability</t>
    <phoneticPr fontId="2" type="noConversion"/>
  </si>
  <si>
    <t>N=F</t>
    <phoneticPr fontId="2" type="noConversion"/>
  </si>
  <si>
    <t>c'(插值得到)</t>
    <phoneticPr fontId="2" type="noConversion"/>
  </si>
  <si>
    <t>f'(插值得到)</t>
    <phoneticPr fontId="2" type="noConversion"/>
  </si>
  <si>
    <t>TF</t>
    <phoneticPr fontId="2" type="noConversion"/>
  </si>
  <si>
    <t>FS=TF/T</t>
    <phoneticPr fontId="2" type="noConversion"/>
  </si>
  <si>
    <t>安全判断</t>
    <phoneticPr fontId="2" type="noConversion"/>
  </si>
  <si>
    <t>＞2，安全</t>
    <phoneticPr fontId="2" type="noConversion"/>
  </si>
  <si>
    <t>＞2，安全</t>
    <phoneticPr fontId="2" type="noConversion"/>
  </si>
  <si>
    <r>
      <t>≈</t>
    </r>
    <r>
      <rPr>
        <sz val="11"/>
        <color rgb="FFFF0000"/>
        <rFont val="宋体"/>
        <family val="3"/>
        <charset val="129"/>
        <scheme val="minor"/>
      </rPr>
      <t>⅓</t>
    </r>
    <r>
      <rPr>
        <sz val="11"/>
        <color rgb="FFFF0000"/>
        <rFont val="宋体"/>
        <family val="3"/>
        <charset val="134"/>
        <scheme val="minor"/>
      </rPr>
      <t>B1，安全</t>
    </r>
    <phoneticPr fontId="2" type="noConversion"/>
  </si>
  <si>
    <r>
      <t>大于</t>
    </r>
    <r>
      <rPr>
        <sz val="11"/>
        <color rgb="FFFF0000"/>
        <rFont val="宋体"/>
        <family val="3"/>
        <charset val="129"/>
        <scheme val="minor"/>
      </rPr>
      <t>⅓</t>
    </r>
    <r>
      <rPr>
        <sz val="11"/>
        <color rgb="FFFF0000"/>
        <rFont val="宋体"/>
        <family val="3"/>
        <charset val="134"/>
        <scheme val="minor"/>
      </rPr>
      <t>B1，小于</t>
    </r>
    <r>
      <rPr>
        <sz val="11"/>
        <color rgb="FFFF0000"/>
        <rFont val="宋体"/>
        <family val="3"/>
        <charset val="129"/>
        <scheme val="minor"/>
      </rPr>
      <t>⅔</t>
    </r>
    <r>
      <rPr>
        <sz val="11"/>
        <color rgb="FFFF0000"/>
        <rFont val="宋体"/>
        <family val="3"/>
        <charset val="134"/>
        <scheme val="minor"/>
      </rPr>
      <t>B1，安全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</si>
</sst>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E17" sqref="E17"/>
    </sheetView>
  </sheetViews>
  <sheetFormatPr defaultRowHeight="13.5" x14ac:dyDescent="0.15"/>
  <cols>
    <col min="1" max="1" width="9" style="1"/>
    <col min="2" max="2" width="11.625" style="1" customWidth="1"/>
    <col min="3" max="3" width="9" style="1"/>
    <col min="4" max="4" width="13.5" style="1" customWidth="1"/>
    <col min="5" max="5" width="12.375" style="1" customWidth="1"/>
    <col min="6" max="6" width="12.5" style="1" customWidth="1"/>
    <col min="7" max="7" width="9" style="1"/>
    <col min="8" max="8" width="14.5" style="1" customWidth="1"/>
    <col min="9" max="9" width="21.5" style="1" customWidth="1"/>
    <col min="10" max="11" width="9" style="1"/>
    <col min="12" max="12" width="17.75" style="1" customWidth="1"/>
    <col min="13" max="16384" width="9" style="1"/>
  </cols>
  <sheetData>
    <row r="1" spans="1:12" x14ac:dyDescent="0.15">
      <c r="A1" s="10" t="s">
        <v>12</v>
      </c>
      <c r="B1" s="10"/>
    </row>
    <row r="2" spans="1:12" x14ac:dyDescent="0.15">
      <c r="A2" s="10"/>
      <c r="B2" s="10"/>
    </row>
    <row r="3" spans="1:12" x14ac:dyDescent="0.15">
      <c r="A3" s="2"/>
      <c r="B3" s="2"/>
      <c r="C3" s="2" t="s">
        <v>5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9</v>
      </c>
      <c r="J3" s="2" t="s">
        <v>10</v>
      </c>
      <c r="K3" s="3" t="s">
        <v>11</v>
      </c>
      <c r="L3" s="4"/>
    </row>
    <row r="4" spans="1:12" x14ac:dyDescent="0.15">
      <c r="A4" s="2">
        <v>0.3</v>
      </c>
      <c r="B4" s="2" t="s">
        <v>7</v>
      </c>
      <c r="C4" s="2">
        <v>69</v>
      </c>
      <c r="D4" s="2">
        <f>50*C4*24</f>
        <v>82800</v>
      </c>
      <c r="E4" s="2">
        <f>50*C4*A4*10</f>
        <v>10350</v>
      </c>
      <c r="F4" s="2">
        <v>0</v>
      </c>
      <c r="G4" s="2">
        <f>50*100*10</f>
        <v>50000</v>
      </c>
      <c r="H4" s="2">
        <f>D4+F4-E4</f>
        <v>72450</v>
      </c>
      <c r="I4" s="2">
        <f>D4*2*C4/3+F4*C4-E4*C4*2/3-G4*100/3</f>
        <v>1666033.3333333333</v>
      </c>
      <c r="J4" s="2">
        <f>I4/H4</f>
        <v>22.995629169542212</v>
      </c>
      <c r="K4" s="7" t="s">
        <v>24</v>
      </c>
      <c r="L4" s="8"/>
    </row>
    <row r="5" spans="1:12" x14ac:dyDescent="0.15">
      <c r="A5" s="2">
        <v>0.5</v>
      </c>
      <c r="B5" s="2" t="s">
        <v>8</v>
      </c>
      <c r="C5" s="2">
        <v>75.2</v>
      </c>
      <c r="D5" s="2">
        <f>50*C5*24</f>
        <v>90240</v>
      </c>
      <c r="E5" s="2">
        <f>50*C5*A5*10</f>
        <v>18800</v>
      </c>
      <c r="F5" s="2">
        <v>0</v>
      </c>
      <c r="G5" s="2">
        <f>50*100*10</f>
        <v>50000</v>
      </c>
      <c r="H5" s="2">
        <f>D5+F5-E5</f>
        <v>71440</v>
      </c>
      <c r="I5" s="2">
        <f>D5*2*C5/3+F5*C5-E5*C5*2/3-G5*100/3</f>
        <v>1914858.6666666667</v>
      </c>
      <c r="J5" s="2">
        <f>I5/H5</f>
        <v>26.803732736095558</v>
      </c>
      <c r="K5" s="9" t="s">
        <v>25</v>
      </c>
      <c r="L5" s="8"/>
    </row>
    <row r="8" spans="1:12" x14ac:dyDescent="0.15">
      <c r="A8" s="10" t="s">
        <v>15</v>
      </c>
      <c r="B8" s="10"/>
    </row>
    <row r="9" spans="1:12" x14ac:dyDescent="0.15">
      <c r="A9" s="10"/>
      <c r="B9" s="10"/>
    </row>
    <row r="10" spans="1:12" x14ac:dyDescent="0.15">
      <c r="A10" s="2"/>
      <c r="B10" s="2"/>
      <c r="C10" s="2" t="s">
        <v>6</v>
      </c>
      <c r="D10" s="2" t="s">
        <v>16</v>
      </c>
      <c r="E10" s="2" t="s">
        <v>18</v>
      </c>
      <c r="F10" s="2" t="s">
        <v>17</v>
      </c>
      <c r="G10" s="2" t="s">
        <v>19</v>
      </c>
      <c r="H10" s="2" t="s">
        <v>20</v>
      </c>
      <c r="I10" s="2" t="s">
        <v>21</v>
      </c>
    </row>
    <row r="11" spans="1:12" x14ac:dyDescent="0.15">
      <c r="A11" s="2">
        <v>0.3</v>
      </c>
      <c r="B11" s="2" t="s">
        <v>13</v>
      </c>
      <c r="C11" s="2">
        <v>68.8</v>
      </c>
      <c r="D11" s="2">
        <f>H4</f>
        <v>72450</v>
      </c>
      <c r="E11" s="2">
        <v>1.2</v>
      </c>
      <c r="F11" s="2">
        <v>1.2</v>
      </c>
      <c r="G11" s="2">
        <f>D11*E11+F11*C11*1000</f>
        <v>169500</v>
      </c>
      <c r="H11" s="2">
        <f>G11/G4</f>
        <v>3.39</v>
      </c>
      <c r="I11" s="5" t="s">
        <v>22</v>
      </c>
    </row>
    <row r="12" spans="1:12" x14ac:dyDescent="0.15">
      <c r="A12" s="2">
        <v>0.5</v>
      </c>
      <c r="B12" s="2" t="s">
        <v>14</v>
      </c>
      <c r="C12" s="2">
        <v>73</v>
      </c>
      <c r="D12" s="2">
        <f>H5</f>
        <v>71440</v>
      </c>
      <c r="E12" s="2">
        <v>1.2</v>
      </c>
      <c r="F12" s="2">
        <v>1.2</v>
      </c>
      <c r="G12" s="2">
        <f>D12*E12+F12*C12*1000</f>
        <v>173328</v>
      </c>
      <c r="H12" s="2">
        <f>G12/G5</f>
        <v>3.4665599999999999</v>
      </c>
      <c r="I12" s="6" t="s">
        <v>23</v>
      </c>
    </row>
  </sheetData>
  <mergeCells count="5">
    <mergeCell ref="A1:B2"/>
    <mergeCell ref="K4:L4"/>
    <mergeCell ref="K5:L5"/>
    <mergeCell ref="K3:L3"/>
    <mergeCell ref="A8:B9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尹文杰</dc:creator>
  <cp:lastModifiedBy>Administrator</cp:lastModifiedBy>
  <dcterms:created xsi:type="dcterms:W3CDTF">2017-03-14T14:27:48Z</dcterms:created>
  <dcterms:modified xsi:type="dcterms:W3CDTF">2017-03-14T15:21:03Z</dcterms:modified>
</cp:coreProperties>
</file>