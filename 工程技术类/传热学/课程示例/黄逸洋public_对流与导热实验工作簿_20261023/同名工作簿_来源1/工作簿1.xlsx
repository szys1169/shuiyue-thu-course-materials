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autoCompressPictures="0"/>
  <bookViews>
    <workbookView xWindow="10760" yWindow="0" windowWidth="14600" windowHeight="13800" tabRatio="500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8" i="1" l="1"/>
  <c r="C18" i="1"/>
  <c r="D18" i="1"/>
  <c r="E18" i="1"/>
  <c r="B17" i="1"/>
  <c r="C17" i="1"/>
  <c r="D17" i="1"/>
  <c r="E17" i="1"/>
  <c r="B16" i="1"/>
  <c r="C16" i="1"/>
  <c r="D16" i="1"/>
  <c r="E16" i="1"/>
  <c r="B15" i="1"/>
  <c r="C15" i="1"/>
  <c r="D15" i="1"/>
  <c r="E15" i="1"/>
  <c r="E14" i="1"/>
  <c r="D14" i="1"/>
  <c r="C14" i="1"/>
  <c r="B14" i="1"/>
  <c r="E12" i="1"/>
  <c r="B13" i="1"/>
  <c r="C13" i="1"/>
  <c r="D13" i="1"/>
  <c r="E13" i="1"/>
  <c r="D12" i="1"/>
  <c r="C12" i="1"/>
  <c r="B12" i="1"/>
  <c r="E11" i="1"/>
  <c r="C11" i="1"/>
  <c r="B11" i="1"/>
  <c r="D11" i="1"/>
  <c r="M2" i="1"/>
  <c r="L2" i="1"/>
  <c r="K2" i="1"/>
  <c r="J2" i="1"/>
  <c r="I2" i="1"/>
  <c r="H2" i="1"/>
  <c r="H3" i="1"/>
  <c r="G2" i="1"/>
  <c r="G3" i="1"/>
  <c r="F2" i="1"/>
  <c r="F3" i="1"/>
  <c r="F4" i="1"/>
  <c r="G4" i="1"/>
  <c r="H4" i="1"/>
  <c r="E3" i="1"/>
  <c r="E4" i="1"/>
  <c r="E2" i="1"/>
  <c r="D4" i="1"/>
  <c r="D3" i="1"/>
  <c r="D2" i="1"/>
  <c r="D7" i="1"/>
  <c r="D6" i="1"/>
  <c r="D5" i="1"/>
  <c r="F1" i="1"/>
  <c r="E1" i="1"/>
  <c r="D1" i="1"/>
  <c r="C1" i="1"/>
  <c r="B1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activeCell="A19" sqref="A19"/>
    </sheetView>
  </sheetViews>
  <sheetFormatPr baseColWidth="10" defaultRowHeight="15" x14ac:dyDescent="0"/>
  <sheetData>
    <row r="1" spans="1:13">
      <c r="B1">
        <f>101325*573.15*1600/3600/99825/273.15</f>
        <v>0.94658990227223117</v>
      </c>
      <c r="C1">
        <f>B1/0.1886</f>
        <v>5.0190344765229655</v>
      </c>
      <c r="D1">
        <f>C1*0.49</f>
        <v>2.4593268934962529</v>
      </c>
      <c r="E1">
        <f>D1/48.33</f>
        <v>5.0886134771286014E-2</v>
      </c>
      <c r="F1">
        <f>E1*1000000</f>
        <v>50886.134771286015</v>
      </c>
    </row>
    <row r="2" spans="1:13">
      <c r="B2">
        <f>B1/2.884</f>
        <v>0.32822118664085687</v>
      </c>
      <c r="D2">
        <f>D1/37.73</f>
        <v>6.5182265928869679E-2</v>
      </c>
      <c r="E2">
        <f>D2*1000000</f>
        <v>65182.265928869681</v>
      </c>
      <c r="F2">
        <f t="shared" ref="F2:F3" si="0">LOG10(E2)</f>
        <v>4.8141294537556902</v>
      </c>
      <c r="G2">
        <f t="shared" ref="G2:G3" si="1">F2*1.82-1.64</f>
        <v>7.1217156058353561</v>
      </c>
      <c r="H2">
        <f t="shared" ref="H2:H3" si="2">1/(G2*G2)</f>
        <v>1.97165419133426E-2</v>
      </c>
      <c r="I2">
        <f>H2/8*D6*E2</f>
        <v>108.99838548176099</v>
      </c>
      <c r="J2">
        <f>1+900/E2+12.7*(D6^(2/3)-1)*(H2/8)^(0.5)</f>
        <v>0.87014965785353393</v>
      </c>
      <c r="K2">
        <f>I2/J2</f>
        <v>125.26395258332437</v>
      </c>
      <c r="L2">
        <f>K2*D7/100/0.49</f>
        <v>10.481269501869997</v>
      </c>
      <c r="M2">
        <f>1/L2/0.49/3.14</f>
        <v>6.2009807604753227E-2</v>
      </c>
    </row>
    <row r="3" spans="1:13">
      <c r="D3">
        <f>2.46/37.73</f>
        <v>6.5200106016432557E-2</v>
      </c>
      <c r="E3">
        <f t="shared" ref="E3:E4" si="3">D3*1000000</f>
        <v>65200.106016432561</v>
      </c>
      <c r="F3">
        <f t="shared" si="0"/>
        <v>4.8142483019023841</v>
      </c>
      <c r="G3">
        <f t="shared" si="1"/>
        <v>7.1219319094623392</v>
      </c>
      <c r="H3">
        <f t="shared" si="2"/>
        <v>1.9715344290332972E-2</v>
      </c>
    </row>
    <row r="4" spans="1:13">
      <c r="D4">
        <f>7.49/71.235</f>
        <v>0.10514494279497438</v>
      </c>
      <c r="E4">
        <f t="shared" si="3"/>
        <v>105144.94279497438</v>
      </c>
      <c r="F4">
        <f>LOG10(E4)</f>
        <v>5.0217883890617667</v>
      </c>
      <c r="G4">
        <f>F4*1.82-1.64</f>
        <v>7.4996548680924162</v>
      </c>
      <c r="H4">
        <f>1/(G4*G4)</f>
        <v>1.7779414071619568E-2</v>
      </c>
    </row>
    <row r="5" spans="1:13">
      <c r="B5">
        <v>34.85</v>
      </c>
      <c r="C5">
        <v>40.61</v>
      </c>
      <c r="D5">
        <f>AVERAGE(B5:C5)</f>
        <v>37.730000000000004</v>
      </c>
    </row>
    <row r="6" spans="1:13">
      <c r="B6">
        <v>0.68</v>
      </c>
      <c r="C6">
        <v>0.67700000000000005</v>
      </c>
      <c r="D6">
        <f>AVERAGE(B6:C6)</f>
        <v>0.6785000000000001</v>
      </c>
    </row>
    <row r="7" spans="1:13">
      <c r="B7">
        <v>3.93</v>
      </c>
      <c r="C7">
        <v>4.2699999999999996</v>
      </c>
      <c r="D7">
        <f>AVERAGE(B7:C7)</f>
        <v>4.0999999999999996</v>
      </c>
    </row>
    <row r="10" spans="1:13">
      <c r="B10">
        <v>50</v>
      </c>
    </row>
    <row r="11" spans="1:13">
      <c r="A11">
        <v>50</v>
      </c>
      <c r="B11">
        <f>1/(A11/2+10+273)</f>
        <v>3.246753246753247E-3</v>
      </c>
      <c r="C11">
        <f>9.8*B11*(A11-20)*0.5*0.5*0.5</f>
        <v>0.11931818181818184</v>
      </c>
      <c r="D11">
        <f>C11/30.09/30.09</f>
        <v>1.3178386831107634E-4</v>
      </c>
      <c r="E11">
        <f>D11*100000</f>
        <v>13.178386831107634</v>
      </c>
    </row>
    <row r="12" spans="1:13">
      <c r="A12">
        <v>40</v>
      </c>
      <c r="B12">
        <f t="shared" ref="B12:B18" si="4">1/(A12/2+10+273)</f>
        <v>3.3003300330033004E-3</v>
      </c>
      <c r="C12">
        <f t="shared" ref="C12:C18" si="5">9.8*B12*(A12-20)*0.5*0.5*0.5</f>
        <v>8.0858085808580865E-2</v>
      </c>
      <c r="D12">
        <f t="shared" ref="D12:D18" si="6">C12/30.09/30.09</f>
        <v>8.9305679735558882E-5</v>
      </c>
      <c r="E12">
        <f t="shared" ref="E12:E18" si="7">D12*100000</f>
        <v>8.9305679735558883</v>
      </c>
    </row>
    <row r="13" spans="1:13">
      <c r="A13">
        <v>30</v>
      </c>
      <c r="B13">
        <f t="shared" si="4"/>
        <v>3.3557046979865771E-3</v>
      </c>
      <c r="C13">
        <f t="shared" si="5"/>
        <v>4.1107382550335567E-2</v>
      </c>
      <c r="D13">
        <f t="shared" si="6"/>
        <v>4.540204859039318E-5</v>
      </c>
      <c r="E13">
        <f t="shared" si="7"/>
        <v>4.540204859039318</v>
      </c>
    </row>
    <row r="14" spans="1:13">
      <c r="A14">
        <v>25</v>
      </c>
      <c r="B14">
        <f t="shared" si="4"/>
        <v>3.3840947546531302E-3</v>
      </c>
      <c r="C14">
        <f t="shared" si="5"/>
        <v>2.0727580372250427E-2</v>
      </c>
      <c r="D14">
        <f t="shared" si="6"/>
        <v>2.2893080338303168E-5</v>
      </c>
      <c r="E14">
        <f t="shared" si="7"/>
        <v>2.2893080338303169</v>
      </c>
    </row>
    <row r="15" spans="1:13">
      <c r="A15">
        <v>20</v>
      </c>
      <c r="B15">
        <f t="shared" si="4"/>
        <v>3.4129692832764505E-3</v>
      </c>
      <c r="C15">
        <f t="shared" si="5"/>
        <v>0</v>
      </c>
      <c r="D15">
        <f t="shared" si="6"/>
        <v>0</v>
      </c>
      <c r="E15">
        <f t="shared" si="7"/>
        <v>0</v>
      </c>
    </row>
    <row r="16" spans="1:13">
      <c r="A16">
        <v>21</v>
      </c>
      <c r="B16">
        <f t="shared" si="4"/>
        <v>3.4071550255536627E-3</v>
      </c>
      <c r="C16">
        <f t="shared" si="5"/>
        <v>4.1737649063032373E-3</v>
      </c>
      <c r="D16">
        <f t="shared" si="6"/>
        <v>4.6098161771506542E-6</v>
      </c>
      <c r="E16">
        <f t="shared" si="7"/>
        <v>0.46098161771506541</v>
      </c>
    </row>
    <row r="17" spans="1:5">
      <c r="A17">
        <v>22</v>
      </c>
      <c r="B17">
        <f t="shared" si="4"/>
        <v>3.4013605442176869E-3</v>
      </c>
      <c r="C17">
        <f t="shared" si="5"/>
        <v>8.3333333333333332E-3</v>
      </c>
      <c r="D17">
        <f t="shared" si="6"/>
        <v>9.2039527074402513E-6</v>
      </c>
      <c r="E17">
        <f t="shared" si="7"/>
        <v>0.92039527074402516</v>
      </c>
    </row>
    <row r="18" spans="1:5">
      <c r="A18">
        <v>23</v>
      </c>
      <c r="B18">
        <f t="shared" si="4"/>
        <v>3.3955857385398981E-3</v>
      </c>
      <c r="C18">
        <f t="shared" si="5"/>
        <v>1.2478777589134127E-2</v>
      </c>
      <c r="D18">
        <f t="shared" si="6"/>
        <v>1.3782489453246694E-5</v>
      </c>
      <c r="E18">
        <f t="shared" si="7"/>
        <v>1.3782489453246694</v>
      </c>
    </row>
  </sheetData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力硕 刘</dc:creator>
  <cp:lastModifiedBy>力硕 刘</cp:lastModifiedBy>
  <dcterms:created xsi:type="dcterms:W3CDTF">2014-12-31T15:38:25Z</dcterms:created>
  <dcterms:modified xsi:type="dcterms:W3CDTF">2014-12-31T17:07:18Z</dcterms:modified>
</cp:coreProperties>
</file>