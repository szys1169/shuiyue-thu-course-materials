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2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0" yWindow="105" windowWidth="12765" windowHeight="5715"/>
  </bookViews>
  <sheets>
    <sheet name="Sheet1" sheetId="1" r:id="rId1"/>
    <sheet name="Sheet2" sheetId="2" r:id="rId2"/>
    <sheet name="Sheet3" sheetId="3" r:id="rId3"/>
  </sheets>
  <calcPr calcId="125725"/>
</workbook>
</file>

<file path=xl/calcChain.xml><?xml version="1.0" encoding="utf-8"?>
<calcChain xmlns="http://schemas.openxmlformats.org/spreadsheetml/2006/main">
  <c r="D3" i="1"/>
  <c r="D4"/>
  <c r="D5"/>
  <c r="D6"/>
  <c r="D7"/>
  <c r="D8"/>
  <c r="D9"/>
  <c r="D10"/>
  <c r="D11"/>
  <c r="D12"/>
  <c r="D13"/>
  <c r="D14"/>
  <c r="D15"/>
  <c r="D16"/>
  <c r="D17"/>
  <c r="D18"/>
  <c r="D2"/>
  <c r="C3"/>
  <c r="C4"/>
  <c r="C5"/>
  <c r="C6"/>
  <c r="C7"/>
  <c r="C8"/>
  <c r="C9"/>
  <c r="C10"/>
  <c r="C11"/>
  <c r="C12"/>
  <c r="C13"/>
  <c r="C14"/>
  <c r="C15"/>
  <c r="C16"/>
  <c r="C17"/>
  <c r="C18"/>
  <c r="C2"/>
</calcChain>
</file>

<file path=xl/sharedStrings.xml><?xml version="1.0" encoding="utf-8"?>
<sst xmlns="http://schemas.openxmlformats.org/spreadsheetml/2006/main" count="4" uniqueCount="4">
  <si>
    <t>Load</t>
    <phoneticPr fontId="1" type="noConversion"/>
  </si>
  <si>
    <t>Displacement</t>
    <phoneticPr fontId="1" type="noConversion"/>
  </si>
  <si>
    <t>Strain</t>
    <phoneticPr fontId="1" type="noConversion"/>
  </si>
  <si>
    <t>Stress(kpsi)</t>
    <phoneticPr fontId="1" type="noConversion"/>
  </si>
</sst>
</file>

<file path=xl/styles.xml><?xml version="1.0" encoding="utf-8"?>
<styleSheet xmlns="http://schemas.openxmlformats.org/spreadsheetml/2006/main">
  <fonts count="3">
    <font>
      <sz val="11"/>
      <color theme="1"/>
      <name val="Tahoma"/>
      <family val="2"/>
      <charset val="134"/>
    </font>
    <font>
      <sz val="9"/>
      <name val="Tahoma"/>
      <family val="2"/>
      <charset val="134"/>
    </font>
    <font>
      <sz val="9"/>
      <color theme="1"/>
      <name val="Tahoma"/>
      <family val="2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1" xfId="0" applyFont="1" applyBorder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zh-CN"/>
  <c:style val="17"/>
  <c:chart>
    <c:title>
      <c:tx>
        <c:rich>
          <a:bodyPr/>
          <a:lstStyle/>
          <a:p>
            <a:pPr>
              <a:defRPr/>
            </a:pPr>
            <a:r>
              <a:rPr lang="en-US" altLang="en-US" sz="1200" b="0"/>
              <a:t>Linear portion of the stress-strain curve</a:t>
            </a:r>
          </a:p>
        </c:rich>
      </c:tx>
      <c:layout>
        <c:manualLayout>
          <c:xMode val="edge"/>
          <c:yMode val="edge"/>
          <c:x val="0.17278790019321463"/>
          <c:y val="1.9253910950661854E-2"/>
        </c:manualLayout>
      </c:layout>
    </c:title>
    <c:plotArea>
      <c:layout>
        <c:manualLayout>
          <c:layoutTarget val="inner"/>
          <c:xMode val="edge"/>
          <c:yMode val="edge"/>
          <c:x val="0.14046062992125985"/>
          <c:y val="0.14343856860163773"/>
          <c:w val="0.79028237095363008"/>
          <c:h val="0.65171746276194953"/>
        </c:manualLayout>
      </c:layout>
      <c:scatterChart>
        <c:scatterStyle val="lineMarker"/>
        <c:ser>
          <c:idx val="0"/>
          <c:order val="0"/>
          <c:tx>
            <c:v>Linear portion of the stress-strain curve</c:v>
          </c:tx>
          <c:spPr>
            <a:ln w="47625">
              <a:noFill/>
            </a:ln>
          </c:spPr>
          <c:marker>
            <c:symbol val="circle"/>
            <c:size val="8"/>
            <c:spPr>
              <a:solidFill>
                <a:schemeClr val="tx1"/>
              </a:solidFill>
            </c:spPr>
          </c:marker>
          <c:trendline>
            <c:spPr>
              <a:ln w="25400"/>
            </c:spPr>
            <c:trendlineType val="linear"/>
            <c:dispRSqr val="1"/>
            <c:dispEq val="1"/>
            <c:trendlineLbl>
              <c:layout/>
              <c:numFmt formatCode="General" sourceLinked="0"/>
            </c:trendlineLbl>
          </c:trendline>
          <c:xVal>
            <c:numRef>
              <c:f>Sheet1!$D$2:$D$5</c:f>
              <c:numCache>
                <c:formatCode>General</c:formatCode>
                <c:ptCount val="4"/>
                <c:pt idx="0">
                  <c:v>0</c:v>
                </c:pt>
                <c:pt idx="1">
                  <c:v>4.8000000000000001E-4</c:v>
                </c:pt>
                <c:pt idx="2">
                  <c:v>7.0500000000000001E-4</c:v>
                </c:pt>
                <c:pt idx="3">
                  <c:v>1.2099999999999999E-3</c:v>
                </c:pt>
              </c:numCache>
            </c:numRef>
          </c:xVal>
          <c:yVal>
            <c:numRef>
              <c:f>Sheet1!$C$2:$C$5</c:f>
              <c:numCache>
                <c:formatCode>General</c:formatCode>
                <c:ptCount val="4"/>
                <c:pt idx="0">
                  <c:v>0</c:v>
                </c:pt>
                <c:pt idx="1">
                  <c:v>13.088902519959936</c:v>
                </c:pt>
                <c:pt idx="2">
                  <c:v>20.728339788419046</c:v>
                </c:pt>
                <c:pt idx="3">
                  <c:v>36.2618622342859</c:v>
                </c:pt>
              </c:numCache>
            </c:numRef>
          </c:yVal>
        </c:ser>
        <c:axId val="128351616"/>
        <c:axId val="128370944"/>
      </c:scatterChart>
      <c:valAx>
        <c:axId val="12835161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</a:t>
                </a:r>
                <a:endParaRPr lang="zh-CN"/>
              </a:p>
            </c:rich>
          </c:tx>
          <c:layout/>
        </c:title>
        <c:numFmt formatCode="General" sourceLinked="1"/>
        <c:tickLblPos val="nextTo"/>
        <c:crossAx val="128370944"/>
        <c:crosses val="autoZero"/>
        <c:crossBetween val="midCat"/>
      </c:valAx>
      <c:valAx>
        <c:axId val="128370944"/>
        <c:scaling>
          <c:orientation val="minMax"/>
          <c:min val="0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Stress(kpsi)</a:t>
                </a:r>
                <a:endParaRPr lang="zh-CN"/>
              </a:p>
            </c:rich>
          </c:tx>
          <c:layout/>
        </c:title>
        <c:numFmt formatCode="General" sourceLinked="1"/>
        <c:tickLblPos val="nextTo"/>
        <c:crossAx val="128351616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zh-CN"/>
  <c:style val="9"/>
  <c:chart>
    <c:plotArea>
      <c:layout>
        <c:manualLayout>
          <c:layoutTarget val="inner"/>
          <c:xMode val="edge"/>
          <c:yMode val="edge"/>
          <c:x val="0.15102323747993046"/>
          <c:y val="0.10516021945854903"/>
          <c:w val="0.77909762144783856"/>
          <c:h val="0.7103568671563113"/>
        </c:manualLayout>
      </c:layout>
      <c:scatterChart>
        <c:scatterStyle val="smoothMarker"/>
        <c:ser>
          <c:idx val="0"/>
          <c:order val="0"/>
          <c:tx>
            <c:v>Stress-Strain Curve</c:v>
          </c:tx>
          <c:spPr>
            <a:ln w="25400">
              <a:solidFill>
                <a:prstClr val="black"/>
              </a:solidFill>
            </a:ln>
          </c:spPr>
          <c:marker>
            <c:symbol val="circle"/>
            <c:size val="9"/>
            <c:spPr>
              <a:solidFill>
                <a:schemeClr val="tx1"/>
              </a:solidFill>
              <a:ln w="6350"/>
            </c:spPr>
          </c:marker>
          <c:xVal>
            <c:numRef>
              <c:f>Sheet1!$D$2:$D$5</c:f>
              <c:numCache>
                <c:formatCode>General</c:formatCode>
                <c:ptCount val="4"/>
                <c:pt idx="0">
                  <c:v>0</c:v>
                </c:pt>
                <c:pt idx="1">
                  <c:v>4.8000000000000001E-4</c:v>
                </c:pt>
                <c:pt idx="2">
                  <c:v>7.0500000000000001E-4</c:v>
                </c:pt>
                <c:pt idx="3">
                  <c:v>1.2099999999999999E-3</c:v>
                </c:pt>
              </c:numCache>
            </c:numRef>
          </c:xVal>
          <c:yVal>
            <c:numRef>
              <c:f>Sheet1!$C$2:$C$5</c:f>
              <c:numCache>
                <c:formatCode>General</c:formatCode>
                <c:ptCount val="4"/>
                <c:pt idx="0">
                  <c:v>0</c:v>
                </c:pt>
                <c:pt idx="1">
                  <c:v>13.088902519959936</c:v>
                </c:pt>
                <c:pt idx="2">
                  <c:v>20.728339788419046</c:v>
                </c:pt>
                <c:pt idx="3">
                  <c:v>36.2618622342859</c:v>
                </c:pt>
              </c:numCache>
            </c:numRef>
          </c:yVal>
          <c:smooth val="1"/>
        </c:ser>
        <c:ser>
          <c:idx val="1"/>
          <c:order val="1"/>
          <c:spPr>
            <a:ln w="25400">
              <a:solidFill>
                <a:schemeClr val="tx1"/>
              </a:solidFill>
            </a:ln>
          </c:spPr>
          <c:marker>
            <c:symbol val="circle"/>
            <c:size val="9"/>
            <c:spPr>
              <a:solidFill>
                <a:schemeClr val="tx1"/>
              </a:solidFill>
            </c:spPr>
          </c:marker>
          <c:xVal>
            <c:numRef>
              <c:f>Sheet1!$D$5:$D$7</c:f>
              <c:numCache>
                <c:formatCode>General</c:formatCode>
                <c:ptCount val="3"/>
                <c:pt idx="0">
                  <c:v>1.2099999999999999E-3</c:v>
                </c:pt>
                <c:pt idx="1">
                  <c:v>8.4550000000000007E-3</c:v>
                </c:pt>
                <c:pt idx="2">
                  <c:v>2.0979999999999999E-2</c:v>
                </c:pt>
              </c:numCache>
            </c:numRef>
          </c:xVal>
          <c:yVal>
            <c:numRef>
              <c:f>Sheet1!$C$5:$C$7</c:f>
              <c:numCache>
                <c:formatCode>General</c:formatCode>
                <c:ptCount val="3"/>
                <c:pt idx="0">
                  <c:v>36.2618622342859</c:v>
                </c:pt>
                <c:pt idx="1">
                  <c:v>36.363721397865348</c:v>
                </c:pt>
                <c:pt idx="2">
                  <c:v>37.382313033659898</c:v>
                </c:pt>
              </c:numCache>
            </c:numRef>
          </c:yVal>
          <c:smooth val="1"/>
        </c:ser>
        <c:ser>
          <c:idx val="2"/>
          <c:order val="2"/>
          <c:spPr>
            <a:ln w="25400">
              <a:solidFill>
                <a:schemeClr val="tx1"/>
              </a:solidFill>
            </a:ln>
          </c:spPr>
          <c:marker>
            <c:symbol val="circle"/>
            <c:size val="9"/>
            <c:spPr>
              <a:solidFill>
                <a:schemeClr val="tx1"/>
              </a:solidFill>
            </c:spPr>
          </c:marker>
          <c:xVal>
            <c:numRef>
              <c:f>Sheet1!$D$7:$D$18</c:f>
              <c:numCache>
                <c:formatCode>General</c:formatCode>
                <c:ptCount val="12"/>
                <c:pt idx="0">
                  <c:v>2.0979999999999999E-2</c:v>
                </c:pt>
                <c:pt idx="1">
                  <c:v>2.2995000000000002E-2</c:v>
                </c:pt>
                <c:pt idx="2">
                  <c:v>2.9235000000000001E-2</c:v>
                </c:pt>
                <c:pt idx="3">
                  <c:v>3.5584999999999999E-2</c:v>
                </c:pt>
                <c:pt idx="4">
                  <c:v>4.1505E-2</c:v>
                </c:pt>
                <c:pt idx="5">
                  <c:v>4.7785000000000001E-2</c:v>
                </c:pt>
                <c:pt idx="6">
                  <c:v>5.4390000000000001E-2</c:v>
                </c:pt>
                <c:pt idx="7">
                  <c:v>6.1034999999999999E-2</c:v>
                </c:pt>
                <c:pt idx="8">
                  <c:v>6.6860000000000003E-2</c:v>
                </c:pt>
                <c:pt idx="9">
                  <c:v>7.3705000000000007E-2</c:v>
                </c:pt>
                <c:pt idx="10">
                  <c:v>9.0995000000000006E-2</c:v>
                </c:pt>
                <c:pt idx="11">
                  <c:v>0.14907000000000001</c:v>
                </c:pt>
              </c:numCache>
            </c:numRef>
          </c:xVal>
          <c:yVal>
            <c:numRef>
              <c:f>Sheet1!$C$7:$C$18</c:f>
              <c:numCache>
                <c:formatCode>General</c:formatCode>
                <c:ptCount val="12"/>
                <c:pt idx="0">
                  <c:v>37.382313033659898</c:v>
                </c:pt>
                <c:pt idx="1">
                  <c:v>38.349975087664717</c:v>
                </c:pt>
                <c:pt idx="2">
                  <c:v>40.285299195674362</c:v>
                </c:pt>
                <c:pt idx="3">
                  <c:v>42.169693721894269</c:v>
                </c:pt>
                <c:pt idx="4">
                  <c:v>43.59572201200664</c:v>
                </c:pt>
                <c:pt idx="5">
                  <c:v>44.767102393170362</c:v>
                </c:pt>
                <c:pt idx="6">
                  <c:v>45.734764447175195</c:v>
                </c:pt>
                <c:pt idx="7">
                  <c:v>46.600567337600559</c:v>
                </c:pt>
                <c:pt idx="8">
                  <c:v>47.109863155497827</c:v>
                </c:pt>
                <c:pt idx="9">
                  <c:v>47.619158973395102</c:v>
                </c:pt>
                <c:pt idx="10">
                  <c:v>48.077525209502646</c:v>
                </c:pt>
                <c:pt idx="11">
                  <c:v>40.081580868515452</c:v>
                </c:pt>
              </c:numCache>
            </c:numRef>
          </c:yVal>
          <c:smooth val="1"/>
        </c:ser>
        <c:axId val="128369024"/>
        <c:axId val="128391424"/>
      </c:scatterChart>
      <c:valAx>
        <c:axId val="12836902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CN" sz="1600" b="0"/>
                  <a:t>Strain</a:t>
                </a:r>
                <a:endParaRPr lang="zh-CN" altLang="en-US" sz="1600" b="0"/>
              </a:p>
            </c:rich>
          </c:tx>
          <c:layout>
            <c:manualLayout>
              <c:xMode val="edge"/>
              <c:yMode val="edge"/>
              <c:x val="0.47346438078218972"/>
              <c:y val="0.90532335309938161"/>
            </c:manualLayout>
          </c:layout>
        </c:title>
        <c:numFmt formatCode="General" sourceLinked="1"/>
        <c:majorTickMark val="none"/>
        <c:tickLblPos val="nextTo"/>
        <c:crossAx val="128391424"/>
        <c:crosses val="autoZero"/>
        <c:crossBetween val="midCat"/>
      </c:valAx>
      <c:valAx>
        <c:axId val="128391424"/>
        <c:scaling>
          <c:orientation val="minMax"/>
          <c:max val="50"/>
        </c:scaling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altLang="zh-CN" sz="1600" b="0"/>
                  <a:t>Stress(kpsi)</a:t>
                </a:r>
                <a:endParaRPr lang="zh-CN" altLang="en-US" sz="1600" b="0"/>
              </a:p>
            </c:rich>
          </c:tx>
          <c:layout>
            <c:manualLayout>
              <c:xMode val="edge"/>
              <c:yMode val="edge"/>
              <c:x val="2.3699670519908435E-2"/>
              <c:y val="0.33867729496775922"/>
            </c:manualLayout>
          </c:layout>
        </c:title>
        <c:numFmt formatCode="General" sourceLinked="1"/>
        <c:majorTickMark val="none"/>
        <c:tickLblPos val="nextTo"/>
        <c:crossAx val="128369024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5</xdr:row>
      <xdr:rowOff>9525</xdr:rowOff>
    </xdr:from>
    <xdr:to>
      <xdr:col>10</xdr:col>
      <xdr:colOff>276225</xdr:colOff>
      <xdr:row>19</xdr:row>
      <xdr:rowOff>114300</xdr:rowOff>
    </xdr:to>
    <xdr:graphicFrame macro="">
      <xdr:nvGraphicFramePr>
        <xdr:cNvPr id="5" name="图表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10</xdr:col>
      <xdr:colOff>676275</xdr:colOff>
      <xdr:row>4</xdr:row>
      <xdr:rowOff>47625</xdr:rowOff>
    </xdr:from>
    <xdr:ext cx="3067122" cy="311496"/>
    <xdr:sp macro="" textlink="">
      <xdr:nvSpPr>
        <xdr:cNvPr id="4" name="TextBox 3"/>
        <xdr:cNvSpPr txBox="1"/>
      </xdr:nvSpPr>
      <xdr:spPr>
        <a:xfrm>
          <a:off x="7800975" y="771525"/>
          <a:ext cx="3067122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altLang="zh-CN" sz="1400"/>
            <a:t>Linear</a:t>
          </a:r>
          <a:r>
            <a:rPr lang="en-US" altLang="zh-CN" sz="1400" baseline="0"/>
            <a:t> portion of the stress-strain curve</a:t>
          </a:r>
          <a:endParaRPr lang="zh-CN" altLang="en-US" sz="1400"/>
        </a:p>
      </xdr:txBody>
    </xdr:sp>
    <xdr:clientData/>
  </xdr:oneCellAnchor>
  <xdr:twoCellAnchor>
    <xdr:from>
      <xdr:col>11</xdr:col>
      <xdr:colOff>0</xdr:colOff>
      <xdr:row>14</xdr:row>
      <xdr:rowOff>0</xdr:rowOff>
    </xdr:from>
    <xdr:to>
      <xdr:col>18</xdr:col>
      <xdr:colOff>400050</xdr:colOff>
      <xdr:row>30</xdr:row>
      <xdr:rowOff>161925</xdr:rowOff>
    </xdr:to>
    <xdr:graphicFrame macro="">
      <xdr:nvGraphicFramePr>
        <xdr:cNvPr id="6" name="图表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0.35483</cdr:x>
      <cdr:y>0</cdr:y>
    </cdr:from>
    <cdr:to>
      <cdr:x>0.72636</cdr:x>
      <cdr:y>0.08613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845349" y="0"/>
          <a:ext cx="1932198" cy="26334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altLang="zh-CN" sz="1800"/>
            <a:t>Stess-Strain</a:t>
          </a:r>
          <a:r>
            <a:rPr lang="en-US" altLang="zh-CN" sz="1800" baseline="0"/>
            <a:t> Curve</a:t>
          </a:r>
          <a:endParaRPr lang="zh-CN" altLang="en-US" sz="1800"/>
        </a:p>
      </cdr:txBody>
    </cdr:sp>
  </cdr:relSizeAnchor>
</c:userShape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8"/>
  <sheetViews>
    <sheetView tabSelected="1" workbookViewId="0">
      <selection activeCell="C1" sqref="C1:D18"/>
    </sheetView>
  </sheetViews>
  <sheetFormatPr defaultRowHeight="14.25"/>
  <cols>
    <col min="2" max="2" width="12.5" bestFit="1" customWidth="1"/>
    <col min="3" max="3" width="9" customWidth="1"/>
  </cols>
  <sheetData>
    <row r="1" spans="1:4">
      <c r="A1" t="s">
        <v>0</v>
      </c>
      <c r="B1" t="s">
        <v>1</v>
      </c>
      <c r="C1" s="1" t="s">
        <v>3</v>
      </c>
      <c r="D1" s="1" t="s">
        <v>2</v>
      </c>
    </row>
    <row r="2" spans="1:4">
      <c r="A2">
        <v>0</v>
      </c>
      <c r="B2">
        <v>0</v>
      </c>
      <c r="C2" s="1">
        <f>A2*16/3.14159265357</f>
        <v>0</v>
      </c>
      <c r="D2" s="1">
        <f>B2/2</f>
        <v>0</v>
      </c>
    </row>
    <row r="3" spans="1:4">
      <c r="A3">
        <v>2.57</v>
      </c>
      <c r="B3">
        <v>9.6000000000000002E-4</v>
      </c>
      <c r="C3" s="1">
        <f t="shared" ref="C3:C18" si="0">A3*16/3.14159265357</f>
        <v>13.088902519959936</v>
      </c>
      <c r="D3" s="1">
        <f t="shared" ref="D3:D18" si="1">B3/2</f>
        <v>4.8000000000000001E-4</v>
      </c>
    </row>
    <row r="4" spans="1:4">
      <c r="A4">
        <v>4.07</v>
      </c>
      <c r="B4">
        <v>1.41E-3</v>
      </c>
      <c r="C4" s="1">
        <f t="shared" si="0"/>
        <v>20.728339788419046</v>
      </c>
      <c r="D4" s="1">
        <f t="shared" si="1"/>
        <v>7.0500000000000001E-4</v>
      </c>
    </row>
    <row r="5" spans="1:4">
      <c r="A5">
        <v>7.12</v>
      </c>
      <c r="B5">
        <v>2.4199999999999998E-3</v>
      </c>
      <c r="C5" s="1">
        <f t="shared" si="0"/>
        <v>36.2618622342859</v>
      </c>
      <c r="D5" s="1">
        <f t="shared" si="1"/>
        <v>1.2099999999999999E-3</v>
      </c>
    </row>
    <row r="6" spans="1:4">
      <c r="A6">
        <v>7.14</v>
      </c>
      <c r="B6">
        <v>1.6910000000000001E-2</v>
      </c>
      <c r="C6" s="1">
        <f t="shared" si="0"/>
        <v>36.363721397865348</v>
      </c>
      <c r="D6" s="1">
        <f t="shared" si="1"/>
        <v>8.4550000000000007E-3</v>
      </c>
    </row>
    <row r="7" spans="1:4">
      <c r="A7">
        <v>7.34</v>
      </c>
      <c r="B7">
        <v>4.1959999999999997E-2</v>
      </c>
      <c r="C7" s="1">
        <f t="shared" si="0"/>
        <v>37.382313033659898</v>
      </c>
      <c r="D7" s="1">
        <f t="shared" si="1"/>
        <v>2.0979999999999999E-2</v>
      </c>
    </row>
    <row r="8" spans="1:4">
      <c r="A8">
        <v>7.53</v>
      </c>
      <c r="B8">
        <v>4.5990000000000003E-2</v>
      </c>
      <c r="C8" s="1">
        <f t="shared" si="0"/>
        <v>38.349975087664717</v>
      </c>
      <c r="D8" s="1">
        <f t="shared" si="1"/>
        <v>2.2995000000000002E-2</v>
      </c>
    </row>
    <row r="9" spans="1:4">
      <c r="A9">
        <v>7.91</v>
      </c>
      <c r="B9">
        <v>5.8470000000000001E-2</v>
      </c>
      <c r="C9" s="1">
        <f t="shared" si="0"/>
        <v>40.285299195674362</v>
      </c>
      <c r="D9" s="1">
        <f t="shared" si="1"/>
        <v>2.9235000000000001E-2</v>
      </c>
    </row>
    <row r="10" spans="1:4">
      <c r="A10">
        <v>8.2799999999999994</v>
      </c>
      <c r="B10">
        <v>7.1169999999999997E-2</v>
      </c>
      <c r="C10" s="1">
        <f t="shared" si="0"/>
        <v>42.169693721894269</v>
      </c>
      <c r="D10" s="1">
        <f t="shared" si="1"/>
        <v>3.5584999999999999E-2</v>
      </c>
    </row>
    <row r="11" spans="1:4">
      <c r="A11">
        <v>8.56</v>
      </c>
      <c r="B11">
        <v>8.301E-2</v>
      </c>
      <c r="C11" s="1">
        <f t="shared" si="0"/>
        <v>43.59572201200664</v>
      </c>
      <c r="D11" s="1">
        <f t="shared" si="1"/>
        <v>4.1505E-2</v>
      </c>
    </row>
    <row r="12" spans="1:4">
      <c r="A12">
        <v>8.7899999999999991</v>
      </c>
      <c r="B12">
        <v>9.5570000000000002E-2</v>
      </c>
      <c r="C12" s="1">
        <f t="shared" si="0"/>
        <v>44.767102393170362</v>
      </c>
      <c r="D12" s="1">
        <f t="shared" si="1"/>
        <v>4.7785000000000001E-2</v>
      </c>
    </row>
    <row r="13" spans="1:4">
      <c r="A13">
        <v>8.98</v>
      </c>
      <c r="B13">
        <v>0.10878</v>
      </c>
      <c r="C13" s="1">
        <f t="shared" si="0"/>
        <v>45.734764447175195</v>
      </c>
      <c r="D13" s="1">
        <f t="shared" si="1"/>
        <v>5.4390000000000001E-2</v>
      </c>
    </row>
    <row r="14" spans="1:4">
      <c r="A14">
        <v>9.15</v>
      </c>
      <c r="B14">
        <v>0.12207</v>
      </c>
      <c r="C14" s="1">
        <f t="shared" si="0"/>
        <v>46.600567337600559</v>
      </c>
      <c r="D14" s="1">
        <f t="shared" si="1"/>
        <v>6.1034999999999999E-2</v>
      </c>
    </row>
    <row r="15" spans="1:4">
      <c r="A15">
        <v>9.25</v>
      </c>
      <c r="B15">
        <v>0.13372000000000001</v>
      </c>
      <c r="C15" s="1">
        <f t="shared" si="0"/>
        <v>47.109863155497827</v>
      </c>
      <c r="D15" s="1">
        <f t="shared" si="1"/>
        <v>6.6860000000000003E-2</v>
      </c>
    </row>
    <row r="16" spans="1:4">
      <c r="A16">
        <v>9.35</v>
      </c>
      <c r="B16">
        <v>0.14741000000000001</v>
      </c>
      <c r="C16" s="1">
        <f t="shared" si="0"/>
        <v>47.619158973395102</v>
      </c>
      <c r="D16" s="1">
        <f t="shared" si="1"/>
        <v>7.3705000000000007E-2</v>
      </c>
    </row>
    <row r="17" spans="1:4">
      <c r="A17">
        <v>9.44</v>
      </c>
      <c r="B17">
        <v>0.18199000000000001</v>
      </c>
      <c r="C17" s="1">
        <f t="shared" si="0"/>
        <v>48.077525209502646</v>
      </c>
      <c r="D17" s="1">
        <f t="shared" si="1"/>
        <v>9.0995000000000006E-2</v>
      </c>
    </row>
    <row r="18" spans="1:4">
      <c r="A18">
        <v>7.87</v>
      </c>
      <c r="B18">
        <v>0.29814000000000002</v>
      </c>
      <c r="C18" s="1">
        <f t="shared" si="0"/>
        <v>40.081580868515452</v>
      </c>
      <c r="D18" s="1">
        <f t="shared" si="1"/>
        <v>0.14907000000000001</v>
      </c>
    </row>
  </sheetData>
  <phoneticPr fontId="1" type="noConversion"/>
  <pageMargins left="0.7" right="0.7" top="0.75" bottom="0.75" header="0.3" footer="0.3"/>
  <pageSetup paperSize="9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2008-09-11T17:22:52Z</dcterms:created>
  <dcterms:modified xsi:type="dcterms:W3CDTF">2018-10-19T17:28:17Z</dcterms:modified>
</cp:coreProperties>
</file>