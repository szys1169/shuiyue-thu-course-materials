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olors2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526"/>
  <workbookPr filterPrivacy="1" autoCompressPictures="0"/>
  <bookViews>
    <workbookView xWindow="-520" yWindow="0" windowWidth="17320" windowHeight="12180" activeTab="2"/>
  </bookViews>
  <sheets>
    <sheet name="Sheet1" sheetId="1" r:id="rId1"/>
    <sheet name="工作表1" sheetId="2" r:id="rId2"/>
    <sheet name="工作表2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1" i="2" l="1"/>
  <c r="F42" i="2"/>
  <c r="F43" i="2"/>
  <c r="F44" i="2"/>
  <c r="F40" i="2"/>
  <c r="F39" i="2"/>
  <c r="G34" i="2"/>
  <c r="G35" i="2"/>
  <c r="G36" i="2"/>
  <c r="G37" i="2"/>
  <c r="G38" i="2"/>
  <c r="G33" i="2"/>
  <c r="F35" i="2"/>
  <c r="F36" i="2"/>
  <c r="F37" i="2"/>
  <c r="F38" i="2"/>
  <c r="F34" i="2"/>
  <c r="F33" i="2"/>
  <c r="F28" i="2"/>
  <c r="G28" i="2"/>
  <c r="F29" i="2"/>
  <c r="G29" i="2"/>
  <c r="F30" i="2"/>
  <c r="G30" i="2"/>
  <c r="F31" i="2"/>
  <c r="G31" i="2"/>
  <c r="F32" i="2"/>
  <c r="G32" i="2"/>
  <c r="F27" i="2"/>
  <c r="G27" i="2"/>
  <c r="C26" i="1"/>
  <c r="F21" i="2"/>
  <c r="F22" i="2"/>
  <c r="F23" i="2"/>
  <c r="F24" i="2"/>
  <c r="F20" i="2"/>
  <c r="F17" i="2"/>
  <c r="F18" i="2"/>
  <c r="F19" i="2"/>
  <c r="F15" i="2"/>
  <c r="F16" i="2"/>
  <c r="F14" i="2"/>
  <c r="C15" i="1"/>
  <c r="C23" i="1"/>
  <c r="C24" i="1"/>
  <c r="C28" i="1"/>
  <c r="C30" i="1"/>
  <c r="D23" i="1"/>
  <c r="E23" i="1"/>
  <c r="F23" i="1"/>
  <c r="F24" i="1"/>
  <c r="F28" i="1"/>
  <c r="F30" i="1"/>
  <c r="G23" i="1"/>
  <c r="H23" i="1"/>
  <c r="G24" i="1"/>
  <c r="G28" i="1"/>
  <c r="G30" i="1"/>
  <c r="D25" i="1"/>
  <c r="D19" i="1"/>
  <c r="D26" i="1"/>
  <c r="D27" i="1"/>
  <c r="D29" i="1"/>
  <c r="E25" i="1"/>
  <c r="E19" i="1"/>
  <c r="E26" i="1"/>
  <c r="E27" i="1"/>
  <c r="E29" i="1"/>
  <c r="F25" i="1"/>
  <c r="F19" i="1"/>
  <c r="F26" i="1"/>
  <c r="F27" i="1"/>
  <c r="F29" i="1"/>
  <c r="G25" i="1"/>
  <c r="G19" i="1"/>
  <c r="G26" i="1"/>
  <c r="G27" i="1"/>
  <c r="G29" i="1"/>
  <c r="H25" i="1"/>
  <c r="H19" i="1"/>
  <c r="H26" i="1"/>
  <c r="H27" i="1"/>
  <c r="H29" i="1"/>
  <c r="C25" i="1"/>
  <c r="C19" i="1"/>
  <c r="C27" i="1"/>
  <c r="C29" i="1"/>
  <c r="D24" i="1"/>
  <c r="D28" i="1"/>
  <c r="D30" i="1"/>
  <c r="H24" i="1"/>
  <c r="H28" i="1"/>
  <c r="H30" i="1"/>
  <c r="E24" i="1"/>
  <c r="E28" i="1"/>
  <c r="E30" i="1"/>
  <c r="D15" i="1"/>
  <c r="E15" i="1"/>
  <c r="F15" i="1"/>
  <c r="G15" i="1"/>
  <c r="H15" i="1"/>
</calcChain>
</file>

<file path=xl/sharedStrings.xml><?xml version="1.0" encoding="utf-8"?>
<sst xmlns="http://schemas.openxmlformats.org/spreadsheetml/2006/main" count="36" uniqueCount="32">
  <si>
    <t>管号</t>
    <phoneticPr fontId="1" type="noConversion"/>
  </si>
  <si>
    <t>A</t>
    <phoneticPr fontId="1" type="noConversion"/>
  </si>
  <si>
    <t>B</t>
    <phoneticPr fontId="1" type="noConversion"/>
  </si>
  <si>
    <t>V0/V</t>
    <phoneticPr fontId="1" type="noConversion"/>
  </si>
  <si>
    <t>V/V</t>
    <phoneticPr fontId="1" type="noConversion"/>
  </si>
  <si>
    <t>U/V</t>
    <phoneticPr fontId="1" type="noConversion"/>
  </si>
  <si>
    <t>T1/mV</t>
    <phoneticPr fontId="1" type="noConversion"/>
  </si>
  <si>
    <t>T2/mV</t>
    <phoneticPr fontId="1" type="noConversion"/>
  </si>
  <si>
    <t>T3/mV</t>
  </si>
  <si>
    <t>T4/mV</t>
  </si>
  <si>
    <t>Tf/mV</t>
    <phoneticPr fontId="1" type="noConversion"/>
  </si>
  <si>
    <t>Tw/mV</t>
    <phoneticPr fontId="1" type="noConversion"/>
  </si>
  <si>
    <t>tw/℃</t>
    <phoneticPr fontId="1" type="noConversion"/>
  </si>
  <si>
    <t>tf/℃</t>
    <phoneticPr fontId="1" type="noConversion"/>
  </si>
  <si>
    <t>tm/℃</t>
    <phoneticPr fontId="1" type="noConversion"/>
  </si>
  <si>
    <t>D/mm</t>
    <phoneticPr fontId="1" type="noConversion"/>
  </si>
  <si>
    <t>L/mm</t>
    <phoneticPr fontId="1" type="noConversion"/>
  </si>
  <si>
    <t>Q/W</t>
    <phoneticPr fontId="1" type="noConversion"/>
  </si>
  <si>
    <t>Nu</t>
    <phoneticPr fontId="1" type="noConversion"/>
  </si>
  <si>
    <t>Re</t>
    <phoneticPr fontId="1" type="noConversion"/>
  </si>
  <si>
    <t>lgNu</t>
    <phoneticPr fontId="1" type="noConversion"/>
  </si>
  <si>
    <t>lgRe</t>
    <phoneticPr fontId="1" type="noConversion"/>
  </si>
  <si>
    <r>
      <t>U</t>
    </r>
    <r>
      <rPr>
        <b/>
        <sz val="8"/>
        <color theme="1"/>
        <rFont val="宋体"/>
        <family val="3"/>
        <charset val="134"/>
        <scheme val="minor"/>
      </rPr>
      <t>R/</t>
    </r>
    <r>
      <rPr>
        <b/>
        <sz val="11"/>
        <color theme="1"/>
        <rFont val="宋体"/>
        <family val="3"/>
        <charset val="134"/>
        <scheme val="minor"/>
      </rPr>
      <t>mV</t>
    </r>
    <phoneticPr fontId="1" type="noConversion"/>
  </si>
  <si>
    <t>λ/(W/m*K)</t>
    <phoneticPr fontId="1" type="noConversion"/>
  </si>
  <si>
    <t>ν/(m^2/s)</t>
    <phoneticPr fontId="1" type="noConversion"/>
  </si>
  <si>
    <t>pf/(kg/m^3)</t>
    <phoneticPr fontId="1" type="noConversion"/>
  </si>
  <si>
    <t>v/(m/s)</t>
    <phoneticPr fontId="1" type="noConversion"/>
  </si>
  <si>
    <t>u/(m/s)</t>
    <phoneticPr fontId="1" type="noConversion"/>
  </si>
  <si>
    <t>h/(W/m^2*K)</t>
    <phoneticPr fontId="1" type="noConversion"/>
  </si>
  <si>
    <t>f/Hz</t>
    <phoneticPr fontId="1" type="noConversion"/>
  </si>
  <si>
    <t>Tw/mV</t>
  </si>
  <si>
    <t>Tf/mV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</si>
</sst>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.000"/>
    <numFmt numFmtId="177" formatCode="0.0"/>
    <numFmt numFmtId="178" formatCode="0.00_);[Red]\(0.00\)"/>
    <numFmt numFmtId="180" formatCode="0.0000"/>
    <numFmt numFmtId="184" formatCode="0.000E+00"/>
    <numFmt numFmtId="186" formatCode="0.00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u/>
      <sz val="11"/>
      <color theme="10"/>
      <name val="宋体"/>
      <family val="2"/>
      <scheme val="minor"/>
    </font>
    <font>
      <u/>
      <sz val="11"/>
      <color theme="1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7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  <xf numFmtId="2" fontId="0" fillId="0" borderId="0" xfId="0" applyNumberFormat="1"/>
    <xf numFmtId="176" fontId="0" fillId="0" borderId="0" xfId="0" applyNumberFormat="1"/>
    <xf numFmtId="180" fontId="0" fillId="0" borderId="0" xfId="0" applyNumberFormat="1"/>
    <xf numFmtId="0" fontId="2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84" fontId="0" fillId="0" borderId="0" xfId="0" applyNumberFormat="1"/>
    <xf numFmtId="186" fontId="0" fillId="0" borderId="0" xfId="0" applyNumberFormat="1"/>
    <xf numFmtId="18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86" fontId="0" fillId="0" borderId="1" xfId="0" applyNumberFormat="1" applyBorder="1" applyAlignment="1">
      <alignment horizontal="center"/>
    </xf>
  </cellXfs>
  <cellStyles count="77"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超链接" xfId="61" builtinId="8" hidden="1"/>
    <cellStyle name="超链接" xfId="63" builtinId="8" hidden="1"/>
    <cellStyle name="超链接" xfId="65" builtinId="8" hidden="1"/>
    <cellStyle name="超链接" xfId="67" builtinId="8" hidden="1"/>
    <cellStyle name="超链接" xfId="69" builtinId="8" hidden="1"/>
    <cellStyle name="超链接" xfId="71" builtinId="8" hidden="1"/>
    <cellStyle name="超链接" xfId="73" builtinId="8" hidden="1"/>
    <cellStyle name="超链接" xfId="75" builtinId="8" hidden="1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访问过的超链接" xfId="10" builtinId="9" hidden="1"/>
    <cellStyle name="访问过的超链接" xfId="12" builtinId="9" hidden="1"/>
    <cellStyle name="访问过的超链接" xfId="14" builtinId="9" hidden="1"/>
    <cellStyle name="访问过的超链接" xfId="16" builtinId="9" hidden="1"/>
    <cellStyle name="访问过的超链接" xfId="18" builtinId="9" hidden="1"/>
    <cellStyle name="访问过的超链接" xfId="20" builtinId="9" hidden="1"/>
    <cellStyle name="访问过的超链接" xfId="22" builtinId="9" hidden="1"/>
    <cellStyle name="访问过的超链接" xfId="24" builtinId="9" hidden="1"/>
    <cellStyle name="访问过的超链接" xfId="26" builtinId="9" hidden="1"/>
    <cellStyle name="访问过的超链接" xfId="28" builtinId="9" hidden="1"/>
    <cellStyle name="访问过的超链接" xfId="30" builtinId="9" hidden="1"/>
    <cellStyle name="访问过的超链接" xfId="32" builtinId="9" hidden="1"/>
    <cellStyle name="访问过的超链接" xfId="34" builtinId="9" hidden="1"/>
    <cellStyle name="访问过的超链接" xfId="36" builtinId="9" hidden="1"/>
    <cellStyle name="访问过的超链接" xfId="38" builtinId="9" hidden="1"/>
    <cellStyle name="访问过的超链接" xfId="40" builtinId="9" hidden="1"/>
    <cellStyle name="访问过的超链接" xfId="42" builtinId="9" hidden="1"/>
    <cellStyle name="访问过的超链接" xfId="44" builtinId="9" hidden="1"/>
    <cellStyle name="访问过的超链接" xfId="46" builtinId="9" hidden="1"/>
    <cellStyle name="访问过的超链接" xfId="48" builtinId="9" hidden="1"/>
    <cellStyle name="访问过的超链接" xfId="50" builtinId="9" hidden="1"/>
    <cellStyle name="访问过的超链接" xfId="52" builtinId="9" hidden="1"/>
    <cellStyle name="访问过的超链接" xfId="54" builtinId="9" hidden="1"/>
    <cellStyle name="访问过的超链接" xfId="56" builtinId="9" hidden="1"/>
    <cellStyle name="访问过的超链接" xfId="58" builtinId="9" hidden="1"/>
    <cellStyle name="访问过的超链接" xfId="60" builtinId="9" hidden="1"/>
    <cellStyle name="访问过的超链接" xfId="62" builtinId="9" hidden="1"/>
    <cellStyle name="访问过的超链接" xfId="64" builtinId="9" hidden="1"/>
    <cellStyle name="访问过的超链接" xfId="66" builtinId="9" hidden="1"/>
    <cellStyle name="访问过的超链接" xfId="68" builtinId="9" hidden="1"/>
    <cellStyle name="访问过的超链接" xfId="70" builtinId="9" hidden="1"/>
    <cellStyle name="访问过的超链接" xfId="72" builtinId="9" hidden="1"/>
    <cellStyle name="访问过的超链接" xfId="74" builtinId="9" hidden="1"/>
    <cellStyle name="访问过的超链接" xfId="76" builtinId="9" hidden="1"/>
    <cellStyle name="普通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Relationship Id="rId2" Type="http://schemas.microsoft.com/office/2011/relationships/chartStyle" Target="style1.xml"/><Relationship Id="rId3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Relationship Id="rId2" Type="http://schemas.microsoft.com/office/2011/relationships/chartStyle" Target="style2.xml"/><Relationship Id="rId3" Type="http://schemas.microsoft.com/office/2011/relationships/chartColorStyle" Target="colors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A</a:t>
            </a:r>
            <a:r>
              <a:rPr lang="zh-CN" altLang="en-US" b="1"/>
              <a:t>组</a:t>
            </a:r>
            <a:r>
              <a:rPr lang="en-US" altLang="zh-CN" b="1"/>
              <a:t>lgNu-lgRe</a:t>
            </a:r>
            <a:r>
              <a:rPr lang="zh-CN" altLang="en-US" b="1"/>
              <a:t>拟合线（</a:t>
            </a:r>
            <a:r>
              <a:rPr lang="en-US" altLang="zh-CN" b="1"/>
              <a:t>Re&lt;4000</a:t>
            </a:r>
            <a:r>
              <a:rPr lang="zh-CN" altLang="en-US" b="1"/>
              <a:t>）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20751385897391"/>
          <c:y val="0.236734778415119"/>
          <c:w val="0.737596130080153"/>
          <c:h val="0.658057620675137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0.05"/>
            <c:backward val="0.03"/>
            <c:dispRSqr val="1"/>
            <c:dispEq val="1"/>
            <c:trendlineLbl>
              <c:layout>
                <c:manualLayout>
                  <c:x val="0.144093949794737"/>
                  <c:y val="0.2863425343599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Sheet1!$C$30:$E$30</c:f>
              <c:numCache>
                <c:formatCode>0.00</c:formatCode>
                <c:ptCount val="3"/>
                <c:pt idx="0">
                  <c:v>3.561178126510832</c:v>
                </c:pt>
                <c:pt idx="1">
                  <c:v>3.371764272543044</c:v>
                </c:pt>
                <c:pt idx="2">
                  <c:v>3.450958112119379</c:v>
                </c:pt>
              </c:numCache>
            </c:numRef>
          </c:xVal>
          <c:yVal>
            <c:numRef>
              <c:f>Sheet1!$C$29:$E$29</c:f>
              <c:numCache>
                <c:formatCode>0.00</c:formatCode>
                <c:ptCount val="3"/>
                <c:pt idx="0">
                  <c:v>1.776125439385352</c:v>
                </c:pt>
                <c:pt idx="1">
                  <c:v>1.665057923144824</c:v>
                </c:pt>
                <c:pt idx="2">
                  <c:v>1.700782323094955</c:v>
                </c:pt>
              </c:numCache>
            </c:numRef>
          </c:yVal>
          <c:smooth val="0"/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2081550472"/>
        <c:axId val="2081546744"/>
      </c:scatterChart>
      <c:valAx>
        <c:axId val="2081550472"/>
        <c:scaling>
          <c:orientation val="minMax"/>
          <c:min val="3.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1546744"/>
        <c:crosses val="autoZero"/>
        <c:crossBetween val="midCat"/>
      </c:valAx>
      <c:valAx>
        <c:axId val="2081546744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1550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B</a:t>
            </a:r>
            <a:r>
              <a:rPr lang="zh-CN" altLang="en-US" b="1"/>
              <a:t>组</a:t>
            </a:r>
            <a:r>
              <a:rPr lang="en-US" altLang="zh-CN" b="1"/>
              <a:t>lgNu-lgRe</a:t>
            </a:r>
            <a:r>
              <a:rPr lang="zh-CN" altLang="en-US" b="1"/>
              <a:t>拟合线（</a:t>
            </a:r>
            <a:r>
              <a:rPr lang="en-US" altLang="zh-CN" b="1"/>
              <a:t>Re&gt;4000</a:t>
            </a:r>
            <a:r>
              <a:rPr lang="zh-CN" altLang="en-US" b="1"/>
              <a:t>）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23858642534877"/>
          <c:y val="0.271679197994988"/>
          <c:w val="0.77570572682813"/>
          <c:h val="0.61203875831310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 cmpd="sng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0.1"/>
            <c:backward val="0.1"/>
            <c:dispRSqr val="1"/>
            <c:dispEq val="1"/>
            <c:trendlineLbl>
              <c:layout>
                <c:manualLayout>
                  <c:x val="-0.0911938083952665"/>
                  <c:y val="0.04411027568922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Sheet1!$F$30:$H$30</c:f>
              <c:numCache>
                <c:formatCode>0.00</c:formatCode>
                <c:ptCount val="3"/>
                <c:pt idx="0">
                  <c:v>3.961243474261431</c:v>
                </c:pt>
                <c:pt idx="1">
                  <c:v>3.770228051023772</c:v>
                </c:pt>
                <c:pt idx="2">
                  <c:v>3.816733150155599</c:v>
                </c:pt>
              </c:numCache>
            </c:numRef>
          </c:xVal>
          <c:yVal>
            <c:numRef>
              <c:f>Sheet1!$F$29:$H$29</c:f>
              <c:numCache>
                <c:formatCode>0.00</c:formatCode>
                <c:ptCount val="3"/>
                <c:pt idx="0">
                  <c:v>2.059820888058527</c:v>
                </c:pt>
                <c:pt idx="1">
                  <c:v>1.964531825693033</c:v>
                </c:pt>
                <c:pt idx="2">
                  <c:v>1.952194880273815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1456840"/>
        <c:axId val="2081453240"/>
      </c:scatterChart>
      <c:valAx>
        <c:axId val="2081456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1453240"/>
        <c:crosses val="autoZero"/>
        <c:crossBetween val="midCat"/>
      </c:valAx>
      <c:valAx>
        <c:axId val="208145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81456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31</xdr:row>
      <xdr:rowOff>152400</xdr:rowOff>
    </xdr:from>
    <xdr:to>
      <xdr:col>5</xdr:col>
      <xdr:colOff>495299</xdr:colOff>
      <xdr:row>47</xdr:row>
      <xdr:rowOff>95249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552450</xdr:colOff>
      <xdr:row>31</xdr:row>
      <xdr:rowOff>123825</xdr:rowOff>
    </xdr:from>
    <xdr:to>
      <xdr:col>11</xdr:col>
      <xdr:colOff>328612</xdr:colOff>
      <xdr:row>47</xdr:row>
      <xdr:rowOff>95250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0.83856</cdr:x>
      <cdr:y>0.80769</cdr:y>
    </cdr:from>
    <cdr:to>
      <cdr:x>0.97085</cdr:x>
      <cdr:y>0.93537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3115059" y="2000250"/>
          <a:ext cx="491414" cy="3162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lgRe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0.04036</cdr:x>
      <cdr:y>0.12585</cdr:y>
    </cdr:from>
    <cdr:to>
      <cdr:x>0.19058</cdr:x>
      <cdr:y>0.23129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71450" y="352425"/>
          <a:ext cx="63817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lgNu</a:t>
          </a:r>
          <a:endParaRPr lang="zh-CN" alt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0.88393</cdr:x>
      <cdr:y>0.83208</cdr:y>
    </cdr:from>
    <cdr:to>
      <cdr:x>1</cdr:x>
      <cdr:y>0.95688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3742448" y="2108200"/>
          <a:ext cx="491414" cy="3162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100"/>
            <a:t>lgRe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0.0345</cdr:x>
      <cdr:y>0.14035</cdr:y>
    </cdr:from>
    <cdr:to>
      <cdr:x>0.1663</cdr:x>
      <cdr:y>0.24341</cdr:y>
    </cdr:to>
    <cdr:sp macro="" textlink="">
      <cdr:nvSpPr>
        <cdr:cNvPr id="3" name="文本框 1"/>
        <cdr:cNvSpPr txBox="1"/>
      </cdr:nvSpPr>
      <cdr:spPr>
        <a:xfrm xmlns:a="http://schemas.openxmlformats.org/drawingml/2006/main">
          <a:off x="146050" y="355600"/>
          <a:ext cx="558045" cy="2611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100"/>
            <a:t>lgNu</a:t>
          </a:r>
          <a:endParaRPr lang="zh-CN" altLang="en-US" sz="1100"/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30"/>
  <sheetViews>
    <sheetView topLeftCell="A27" workbookViewId="0">
      <selection activeCell="B3" sqref="B3:H30"/>
    </sheetView>
  </sheetViews>
  <sheetFormatPr baseColWidth="10" defaultColWidth="8.83203125" defaultRowHeight="14" x14ac:dyDescent="0"/>
  <cols>
    <col min="1" max="1" width="8.83203125" style="1"/>
    <col min="2" max="2" width="14.1640625" style="1" customWidth="1"/>
    <col min="3" max="8" width="10.5" style="1" bestFit="1" customWidth="1"/>
    <col min="9" max="16384" width="8.83203125" style="1"/>
  </cols>
  <sheetData>
    <row r="3" spans="2:8" ht="17" customHeight="1">
      <c r="B3" s="11" t="s">
        <v>0</v>
      </c>
      <c r="C3" s="11" t="s">
        <v>1</v>
      </c>
      <c r="D3" s="11" t="s">
        <v>1</v>
      </c>
      <c r="E3" s="11" t="s">
        <v>1</v>
      </c>
      <c r="F3" s="11" t="s">
        <v>2</v>
      </c>
      <c r="G3" s="11" t="s">
        <v>2</v>
      </c>
      <c r="H3" s="11" t="s">
        <v>2</v>
      </c>
    </row>
    <row r="4" spans="2:8" ht="17" customHeight="1">
      <c r="B4" s="11" t="s">
        <v>16</v>
      </c>
      <c r="C4" s="2">
        <v>470</v>
      </c>
      <c r="D4" s="2">
        <v>470</v>
      </c>
      <c r="E4" s="2">
        <v>470</v>
      </c>
      <c r="F4" s="2">
        <v>475</v>
      </c>
      <c r="G4" s="2">
        <v>475</v>
      </c>
      <c r="H4" s="2">
        <v>475</v>
      </c>
    </row>
    <row r="5" spans="2:8" ht="17" customHeight="1">
      <c r="B5" s="11" t="s">
        <v>15</v>
      </c>
      <c r="C5" s="2">
        <v>19.8</v>
      </c>
      <c r="D5" s="2">
        <v>19.8</v>
      </c>
      <c r="E5" s="2">
        <v>19.8</v>
      </c>
      <c r="F5" s="2">
        <v>39.82</v>
      </c>
      <c r="G5" s="2">
        <v>39.82</v>
      </c>
      <c r="H5" s="2">
        <v>39.82</v>
      </c>
    </row>
    <row r="6" spans="2:8" ht="17" customHeight="1">
      <c r="B6" s="11" t="s">
        <v>29</v>
      </c>
      <c r="C6" s="2">
        <v>15</v>
      </c>
      <c r="D6" s="2">
        <v>10</v>
      </c>
      <c r="E6" s="2">
        <v>12</v>
      </c>
      <c r="F6" s="2">
        <v>15</v>
      </c>
      <c r="G6" s="2">
        <v>10</v>
      </c>
      <c r="H6" s="2">
        <v>12</v>
      </c>
    </row>
    <row r="7" spans="2:8" ht="17" customHeight="1">
      <c r="B7" s="11" t="s">
        <v>3</v>
      </c>
      <c r="C7" s="2">
        <v>0.4037</v>
      </c>
      <c r="D7" s="2">
        <v>0.4037</v>
      </c>
      <c r="E7" s="2">
        <v>0.40110000000000001</v>
      </c>
      <c r="F7" s="2">
        <v>0.40060000000000001</v>
      </c>
      <c r="G7" s="2">
        <v>0.40060000000000001</v>
      </c>
      <c r="H7" s="2">
        <v>0.3997</v>
      </c>
    </row>
    <row r="8" spans="2:8" ht="17" customHeight="1">
      <c r="B8" s="11" t="s">
        <v>4</v>
      </c>
      <c r="C8" s="7">
        <v>0.53</v>
      </c>
      <c r="D8" s="7">
        <v>0.45900000000000002</v>
      </c>
      <c r="E8" s="7">
        <v>0.48409999999999997</v>
      </c>
      <c r="F8" s="7">
        <v>0.56200000000000006</v>
      </c>
      <c r="G8" s="7">
        <v>0.47149999999999997</v>
      </c>
      <c r="H8" s="7">
        <v>0.4919</v>
      </c>
    </row>
    <row r="9" spans="2:8" ht="17" customHeight="1">
      <c r="B9" s="11" t="s">
        <v>5</v>
      </c>
      <c r="C9" s="3">
        <v>89.75</v>
      </c>
      <c r="D9" s="3">
        <v>89.68</v>
      </c>
      <c r="E9" s="3">
        <v>90.59</v>
      </c>
      <c r="F9" s="3">
        <v>148</v>
      </c>
      <c r="G9" s="3">
        <v>147.27000000000001</v>
      </c>
      <c r="H9" s="3">
        <v>146.63999999999999</v>
      </c>
    </row>
    <row r="10" spans="2:8" ht="17" customHeight="1">
      <c r="B10" s="11" t="s">
        <v>22</v>
      </c>
      <c r="C10" s="5">
        <v>60.000999999999998</v>
      </c>
      <c r="D10" s="5">
        <v>60.042000000000002</v>
      </c>
      <c r="E10" s="5">
        <v>60.655999999999999</v>
      </c>
      <c r="F10" s="3">
        <v>139.4</v>
      </c>
      <c r="G10" s="3">
        <v>139.1</v>
      </c>
      <c r="H10" s="3">
        <v>138.41999999999999</v>
      </c>
    </row>
    <row r="11" spans="2:8" ht="17" customHeight="1">
      <c r="B11" s="11" t="s">
        <v>6</v>
      </c>
      <c r="C11" s="5">
        <v>2.4369999999999998</v>
      </c>
      <c r="D11" s="5">
        <v>2.94</v>
      </c>
      <c r="E11" s="5">
        <v>3.077</v>
      </c>
      <c r="F11" s="5">
        <v>4.2030000000000003</v>
      </c>
      <c r="G11" s="5">
        <v>4.9770000000000003</v>
      </c>
      <c r="H11" s="5">
        <v>5.3090000000000002</v>
      </c>
    </row>
    <row r="12" spans="2:8" ht="17" customHeight="1">
      <c r="B12" s="11" t="s">
        <v>7</v>
      </c>
      <c r="C12" s="5">
        <v>2.4500000000000002</v>
      </c>
      <c r="D12" s="5">
        <v>2.952</v>
      </c>
      <c r="E12" s="5">
        <v>3.089</v>
      </c>
      <c r="F12" s="5">
        <v>4.1959999999999997</v>
      </c>
      <c r="G12" s="5">
        <v>4.9740000000000002</v>
      </c>
      <c r="H12" s="5">
        <v>5.1689999999999996</v>
      </c>
    </row>
    <row r="13" spans="2:8" ht="17" customHeight="1">
      <c r="B13" s="11" t="s">
        <v>8</v>
      </c>
      <c r="C13" s="5">
        <v>2.4289999999999998</v>
      </c>
      <c r="D13" s="5">
        <v>2.9289999999999998</v>
      </c>
      <c r="E13" s="5">
        <v>3.069</v>
      </c>
      <c r="F13" s="5">
        <v>4.21</v>
      </c>
      <c r="G13" s="5">
        <v>4.9809999999999999</v>
      </c>
      <c r="H13" s="5">
        <v>5.2869999999999999</v>
      </c>
    </row>
    <row r="14" spans="2:8" ht="17" customHeight="1">
      <c r="B14" s="11" t="s">
        <v>9</v>
      </c>
      <c r="C14" s="5">
        <v>2.44</v>
      </c>
      <c r="D14" s="5">
        <v>2.94</v>
      </c>
      <c r="E14" s="5">
        <v>3.081</v>
      </c>
      <c r="F14" s="5">
        <v>4.1559999999999997</v>
      </c>
      <c r="G14" s="5">
        <v>4.9219999999999997</v>
      </c>
      <c r="H14" s="5">
        <v>5.2329999999999997</v>
      </c>
    </row>
    <row r="15" spans="2:8" ht="17" customHeight="1">
      <c r="B15" s="11" t="s">
        <v>11</v>
      </c>
      <c r="C15" s="3">
        <f>AVERAGE(C11:C14)</f>
        <v>2.4390000000000001</v>
      </c>
      <c r="D15" s="3">
        <f t="shared" ref="D15:H15" si="0">AVERAGE(D11:D14)</f>
        <v>2.9402499999999998</v>
      </c>
      <c r="E15" s="3">
        <f t="shared" si="0"/>
        <v>3.0789999999999997</v>
      </c>
      <c r="F15" s="3">
        <f t="shared" si="0"/>
        <v>4.1912500000000001</v>
      </c>
      <c r="G15" s="3">
        <f t="shared" si="0"/>
        <v>4.9634999999999998</v>
      </c>
      <c r="H15" s="3">
        <f t="shared" si="0"/>
        <v>5.2495000000000003</v>
      </c>
    </row>
    <row r="16" spans="2:8" ht="17" customHeight="1">
      <c r="B16" s="11" t="s">
        <v>10</v>
      </c>
      <c r="C16" s="5">
        <v>0.60799999999999998</v>
      </c>
      <c r="D16" s="5">
        <v>0.6</v>
      </c>
      <c r="E16" s="5">
        <v>0.88300000000000001</v>
      </c>
      <c r="F16" s="5">
        <v>0.63800000000000001</v>
      </c>
      <c r="G16" s="5">
        <v>0.59899999999999998</v>
      </c>
      <c r="H16" s="5">
        <v>0.83</v>
      </c>
    </row>
    <row r="17" spans="2:8" ht="17" customHeight="1">
      <c r="B17" s="11" t="s">
        <v>12</v>
      </c>
      <c r="C17" s="12">
        <v>59.348837209302324</v>
      </c>
      <c r="D17" s="12">
        <v>70.716666666666669</v>
      </c>
      <c r="E17" s="12">
        <v>73.822222222222209</v>
      </c>
      <c r="F17" s="12">
        <v>98.15425531914893</v>
      </c>
      <c r="G17" s="12">
        <v>114.2704081632653</v>
      </c>
      <c r="H17" s="12">
        <v>120.46875</v>
      </c>
    </row>
    <row r="18" spans="2:8" ht="17" customHeight="1">
      <c r="B18" s="11" t="s">
        <v>13</v>
      </c>
      <c r="C18" s="12">
        <v>15.475</v>
      </c>
      <c r="D18" s="12">
        <v>15.275</v>
      </c>
      <c r="E18" s="12">
        <v>22.317073170731707</v>
      </c>
      <c r="F18" s="12">
        <v>16.225000000000001</v>
      </c>
      <c r="G18" s="12">
        <v>15.25</v>
      </c>
      <c r="H18" s="12">
        <v>21</v>
      </c>
    </row>
    <row r="19" spans="2:8" ht="17" customHeight="1">
      <c r="B19" s="11" t="s">
        <v>14</v>
      </c>
      <c r="C19" s="3">
        <f>AVERAGE(C17:C18)</f>
        <v>37.411918604651163</v>
      </c>
      <c r="D19" s="3">
        <f t="shared" ref="D19:H19" si="1">AVERAGE(D17:D18)</f>
        <v>42.995833333333337</v>
      </c>
      <c r="E19" s="3">
        <f t="shared" si="1"/>
        <v>48.069647696476956</v>
      </c>
      <c r="F19" s="3">
        <f t="shared" si="1"/>
        <v>57.189627659574469</v>
      </c>
      <c r="G19" s="3">
        <f t="shared" si="1"/>
        <v>64.760204081632651</v>
      </c>
      <c r="H19" s="3">
        <f t="shared" si="1"/>
        <v>70.734375</v>
      </c>
    </row>
    <row r="20" spans="2:8" ht="17" customHeight="1">
      <c r="B20" s="13" t="s">
        <v>23</v>
      </c>
      <c r="C20" s="16">
        <v>2.7367072674418604E-2</v>
      </c>
      <c r="D20" s="16">
        <v>2.7809708333333336E-2</v>
      </c>
      <c r="E20" s="16">
        <v>2.8164875338753385E-2</v>
      </c>
      <c r="F20" s="16">
        <v>2.8803273936170212E-2</v>
      </c>
      <c r="G20" s="16">
        <v>2.9285612244897959E-2</v>
      </c>
      <c r="H20" s="16">
        <v>2.9666093750000001E-2</v>
      </c>
    </row>
    <row r="21" spans="2:8" ht="17" customHeight="1">
      <c r="B21" s="13" t="s">
        <v>24</v>
      </c>
      <c r="C21" s="17">
        <v>1.6711544186046512E-5</v>
      </c>
      <c r="D21" s="17">
        <v>1.7256587500000003E-5</v>
      </c>
      <c r="E21" s="17">
        <v>1.775889512195122E-5</v>
      </c>
      <c r="F21" s="17">
        <v>1.8683342021276593E-5</v>
      </c>
      <c r="G21" s="17">
        <v>1.9443622448979593E-5</v>
      </c>
      <c r="H21" s="17">
        <v>2.0098578125E-5</v>
      </c>
    </row>
    <row r="22" spans="2:8" ht="17" customHeight="1">
      <c r="B22" s="11" t="s">
        <v>25</v>
      </c>
      <c r="C22" s="18">
        <v>1.1375759011627906</v>
      </c>
      <c r="D22" s="18">
        <v>1.1175145833333333</v>
      </c>
      <c r="E22" s="18">
        <v>1.0997562330623305</v>
      </c>
      <c r="F22" s="18">
        <v>1.0692742287234043</v>
      </c>
      <c r="G22" s="18">
        <v>1.0452433673469388</v>
      </c>
      <c r="H22" s="18">
        <v>1.0268703124999998</v>
      </c>
    </row>
    <row r="23" spans="2:8" ht="17" customHeight="1">
      <c r="B23" s="11" t="s">
        <v>26</v>
      </c>
      <c r="C23" s="5">
        <f>SQRT(2*(C8-C7)*1000/C22)</f>
        <v>14.901379715218766</v>
      </c>
      <c r="D23" s="5">
        <f t="shared" ref="D23:H23" si="2">SQRT(2*(D8-D7)*1000/D22)</f>
        <v>9.9483478867611925</v>
      </c>
      <c r="E23" s="5">
        <f t="shared" si="2"/>
        <v>12.285867520370982</v>
      </c>
      <c r="F23" s="5">
        <f t="shared" si="2"/>
        <v>17.374895976849512</v>
      </c>
      <c r="G23" s="5">
        <f t="shared" si="2"/>
        <v>11.647411123882708</v>
      </c>
      <c r="H23" s="5">
        <f t="shared" si="2"/>
        <v>13.40055110127483</v>
      </c>
    </row>
    <row r="24" spans="2:8" ht="17" customHeight="1">
      <c r="B24" s="11" t="s">
        <v>27</v>
      </c>
      <c r="C24" s="5">
        <f>C23*0.012/(0.0675-C4*C5*0.001*0.001)</f>
        <v>3.0727662058395229</v>
      </c>
      <c r="D24" s="5">
        <f t="shared" ref="D24:H24" si="3">D23*0.012/(0.0675-D4*D5*0.001*0.001)</f>
        <v>2.0514172361606748</v>
      </c>
      <c r="E24" s="5">
        <f t="shared" si="3"/>
        <v>2.5334297392248644</v>
      </c>
      <c r="F24" s="5">
        <f t="shared" si="3"/>
        <v>4.2913781215011504</v>
      </c>
      <c r="G24" s="5">
        <f t="shared" si="3"/>
        <v>2.8767622744767984</v>
      </c>
      <c r="H24" s="5">
        <f t="shared" si="3"/>
        <v>3.3097655311831295</v>
      </c>
    </row>
    <row r="25" spans="2:8" ht="17" customHeight="1">
      <c r="B25" s="11" t="s">
        <v>17</v>
      </c>
      <c r="C25" s="4">
        <f>(C9-C10*0.001)*C10*0.001/0.1</f>
        <v>53.814896299989996</v>
      </c>
      <c r="D25" s="4">
        <f t="shared" ref="D25:H25" si="4">(D9-D10*0.001)*D10*0.001/0.1</f>
        <v>53.809615182360005</v>
      </c>
      <c r="E25" s="4">
        <f t="shared" si="4"/>
        <v>54.911478896639998</v>
      </c>
      <c r="F25" s="4">
        <f t="shared" si="4"/>
        <v>206.11767640000002</v>
      </c>
      <c r="G25" s="4">
        <f t="shared" si="4"/>
        <v>204.65908189999999</v>
      </c>
      <c r="H25" s="4">
        <f t="shared" si="4"/>
        <v>202.78748703599996</v>
      </c>
    </row>
    <row r="26" spans="2:8" ht="17" customHeight="1">
      <c r="B26" s="11" t="s">
        <v>28</v>
      </c>
      <c r="C26" s="3">
        <f>(C25/(PI()*C5*0.001*C4*0.001)-0.1*5.67*(((273.15+C17)^4)-((273.15+C18)^4))*(10^-8))/(C17-C19)</f>
        <v>82.544586175362312</v>
      </c>
      <c r="D26" s="3">
        <f t="shared" ref="D26:H26" si="5">(D25/(PI()*D5*0.001*D4*0.001)-0.1*5.67*(((273.15+D17)^4)-((273.15+D18)^4))*(10^-8))/(D17-D19)</f>
        <v>64.951497267037013</v>
      </c>
      <c r="E26" s="3">
        <f t="shared" si="5"/>
        <v>71.420842043288573</v>
      </c>
      <c r="F26" s="3">
        <f t="shared" si="5"/>
        <v>83.01593949485185</v>
      </c>
      <c r="G26" s="3">
        <f t="shared" si="5"/>
        <v>67.777395772619258</v>
      </c>
      <c r="H26" s="3">
        <f t="shared" si="5"/>
        <v>66.735049881456035</v>
      </c>
    </row>
    <row r="27" spans="2:8" ht="17" customHeight="1">
      <c r="B27" s="11" t="s">
        <v>18</v>
      </c>
      <c r="C27" s="6">
        <f>C26*C5*0.001/C20</f>
        <v>59.720775609293234</v>
      </c>
      <c r="D27" s="6">
        <f t="shared" ref="D27:H27" si="6">D26*D5*0.001/D20</f>
        <v>46.244269464194886</v>
      </c>
      <c r="E27" s="6">
        <f t="shared" si="6"/>
        <v>50.209086866127251</v>
      </c>
      <c r="F27" s="6">
        <f t="shared" si="6"/>
        <v>114.76801970535084</v>
      </c>
      <c r="G27" s="6">
        <f t="shared" si="6"/>
        <v>92.157742071309841</v>
      </c>
      <c r="H27" s="6">
        <f t="shared" si="6"/>
        <v>89.576663131780862</v>
      </c>
    </row>
    <row r="28" spans="2:8" ht="17" customHeight="1">
      <c r="B28" s="11" t="s">
        <v>19</v>
      </c>
      <c r="C28" s="6">
        <f>C24*C5*0.001/C21</f>
        <v>3640.6432702025363</v>
      </c>
      <c r="D28" s="6">
        <f t="shared" ref="D28:H28" si="7">D24*D5*0.001/D21</f>
        <v>2353.7713511423594</v>
      </c>
      <c r="E28" s="6">
        <f t="shared" si="7"/>
        <v>2824.6075272244125</v>
      </c>
      <c r="F28" s="6">
        <f t="shared" si="7"/>
        <v>9146.2585550044842</v>
      </c>
      <c r="G28" s="6">
        <f t="shared" si="7"/>
        <v>5891.5294241211659</v>
      </c>
      <c r="H28" s="6">
        <f t="shared" si="7"/>
        <v>6557.4222530586203</v>
      </c>
    </row>
    <row r="29" spans="2:8" ht="17" customHeight="1">
      <c r="B29" s="11" t="s">
        <v>20</v>
      </c>
      <c r="C29" s="3">
        <f>LOG10(C27)</f>
        <v>1.7761254393853525</v>
      </c>
      <c r="D29" s="3">
        <f t="shared" ref="D29:H29" si="8">LOG10(D27)</f>
        <v>1.6650579231448239</v>
      </c>
      <c r="E29" s="3">
        <f t="shared" si="8"/>
        <v>1.7007823230949548</v>
      </c>
      <c r="F29" s="3">
        <f t="shared" si="8"/>
        <v>2.0598208880585269</v>
      </c>
      <c r="G29" s="3">
        <f t="shared" si="8"/>
        <v>1.9645318256930329</v>
      </c>
      <c r="H29" s="3">
        <f t="shared" si="8"/>
        <v>1.9521948802738149</v>
      </c>
    </row>
    <row r="30" spans="2:8" ht="17" customHeight="1">
      <c r="B30" s="11" t="s">
        <v>21</v>
      </c>
      <c r="C30" s="3">
        <f>LOG10(C28)</f>
        <v>3.5611781265108315</v>
      </c>
      <c r="D30" s="3">
        <f t="shared" ref="D30:H30" si="9">LOG10(D28)</f>
        <v>3.3717642725430439</v>
      </c>
      <c r="E30" s="3">
        <f t="shared" si="9"/>
        <v>3.4509581121193795</v>
      </c>
      <c r="F30" s="3">
        <f t="shared" si="9"/>
        <v>3.9612434742614306</v>
      </c>
      <c r="G30" s="3">
        <f t="shared" si="9"/>
        <v>3.7702280510237722</v>
      </c>
      <c r="H30" s="3">
        <f t="shared" si="9"/>
        <v>3.8167331501555988</v>
      </c>
    </row>
  </sheetData>
  <phoneticPr fontId="1" type="noConversion"/>
  <pageMargins left="0.7" right="0.7" top="0.75" bottom="0.75" header="0.3" footer="0.3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opLeftCell="A23" workbookViewId="0">
      <selection activeCell="G39" sqref="G39:G44"/>
    </sheetView>
  </sheetViews>
  <sheetFormatPr baseColWidth="10" defaultRowHeight="14" x14ac:dyDescent="0"/>
  <sheetData>
    <row r="1" spans="1:8">
      <c r="A1" t="s">
        <v>30</v>
      </c>
      <c r="B1" s="9">
        <v>2.4390000000000001</v>
      </c>
      <c r="C1" s="9">
        <v>2.9402499999999998</v>
      </c>
      <c r="D1" s="9">
        <v>3.0789999999999997</v>
      </c>
      <c r="E1" s="9">
        <v>4.1912500000000001</v>
      </c>
      <c r="F1" s="9">
        <v>4.9634999999999998</v>
      </c>
      <c r="G1" s="9">
        <v>5.2495000000000003</v>
      </c>
    </row>
    <row r="2" spans="1:8">
      <c r="A2" t="s">
        <v>31</v>
      </c>
      <c r="B2" s="9">
        <v>0.60799999999999998</v>
      </c>
      <c r="C2" s="9">
        <v>0.6</v>
      </c>
      <c r="D2" s="9">
        <v>0.88300000000000001</v>
      </c>
      <c r="E2" s="9">
        <v>0.63800000000000001</v>
      </c>
      <c r="F2" s="9">
        <v>0.59899999999999998</v>
      </c>
      <c r="G2" s="9">
        <v>0.83</v>
      </c>
    </row>
    <row r="3" spans="1:8">
      <c r="B3" s="8">
        <v>59.348837209302324</v>
      </c>
      <c r="C3" s="8">
        <v>70.716666666666669</v>
      </c>
      <c r="D3" s="8">
        <v>73.822222222222209</v>
      </c>
      <c r="E3" s="8">
        <v>98.15425531914893</v>
      </c>
      <c r="F3" s="8">
        <v>114.2704081632653</v>
      </c>
      <c r="G3" s="8">
        <v>120.46875</v>
      </c>
    </row>
    <row r="4" spans="1:8">
      <c r="B4" s="8">
        <v>15.475</v>
      </c>
      <c r="C4" s="8">
        <v>15.275</v>
      </c>
      <c r="D4" s="8">
        <v>22.317073170731707</v>
      </c>
      <c r="E4" s="8">
        <v>16.225000000000001</v>
      </c>
      <c r="F4" s="8">
        <v>15.25</v>
      </c>
      <c r="G4" s="8">
        <v>21</v>
      </c>
    </row>
    <row r="5" spans="1:8">
      <c r="B5" s="8">
        <v>37.411918604651163</v>
      </c>
      <c r="C5" s="8">
        <v>42.995833333333337</v>
      </c>
      <c r="D5" s="8">
        <v>48.069647696476956</v>
      </c>
      <c r="E5" s="8">
        <v>57.189627659574469</v>
      </c>
      <c r="F5" s="8">
        <v>64.760204081632651</v>
      </c>
      <c r="G5" s="8">
        <v>70.734375</v>
      </c>
    </row>
    <row r="14" spans="1:8">
      <c r="A14">
        <v>2.4239999999999999</v>
      </c>
      <c r="B14">
        <v>2.4670000000000001</v>
      </c>
      <c r="C14">
        <v>59</v>
      </c>
      <c r="D14">
        <v>60</v>
      </c>
      <c r="E14">
        <v>2.4390000000000001</v>
      </c>
      <c r="F14">
        <f>(E14-A14)/(B14-A14)+C14</f>
        <v>59.348837209302324</v>
      </c>
      <c r="H14" s="8">
        <v>59.348837209302324</v>
      </c>
    </row>
    <row r="15" spans="1:8">
      <c r="A15">
        <v>2.9079999999999999</v>
      </c>
      <c r="B15">
        <v>2.9529999999999998</v>
      </c>
      <c r="C15">
        <v>70</v>
      </c>
      <c r="D15">
        <v>71</v>
      </c>
      <c r="E15" s="9">
        <v>2.9402499999999998</v>
      </c>
      <c r="F15">
        <f t="shared" ref="F15:F24" si="0">(E15-A15)/(B15-A15)+C15</f>
        <v>70.716666666666669</v>
      </c>
      <c r="H15" s="8">
        <v>70.716666666666669</v>
      </c>
    </row>
    <row r="16" spans="1:8">
      <c r="A16">
        <v>3.0419999999999998</v>
      </c>
      <c r="B16">
        <v>3.0870000000000002</v>
      </c>
      <c r="C16">
        <v>73</v>
      </c>
      <c r="D16">
        <v>74</v>
      </c>
      <c r="E16" s="9">
        <v>3.0789999999999997</v>
      </c>
      <c r="F16">
        <f t="shared" si="0"/>
        <v>73.822222222222209</v>
      </c>
      <c r="H16" s="8">
        <v>73.822222222222209</v>
      </c>
    </row>
    <row r="17" spans="1:8">
      <c r="A17">
        <v>4.1840000000000002</v>
      </c>
      <c r="B17">
        <v>4.2309999999999999</v>
      </c>
      <c r="C17">
        <v>98</v>
      </c>
      <c r="D17">
        <v>99</v>
      </c>
      <c r="E17" s="9">
        <v>4.1912500000000001</v>
      </c>
      <c r="F17">
        <f t="shared" si="0"/>
        <v>98.15425531914893</v>
      </c>
      <c r="H17" s="8">
        <v>98.15425531914893</v>
      </c>
    </row>
    <row r="18" spans="1:8">
      <c r="A18">
        <v>4.9370000000000003</v>
      </c>
      <c r="B18">
        <v>5.0350000000000001</v>
      </c>
      <c r="C18">
        <v>114</v>
      </c>
      <c r="D18">
        <v>115</v>
      </c>
      <c r="E18" s="9">
        <v>4.9634999999999998</v>
      </c>
      <c r="F18">
        <f t="shared" si="0"/>
        <v>114.2704081632653</v>
      </c>
      <c r="H18" s="8">
        <v>114.2704081632653</v>
      </c>
    </row>
    <row r="19" spans="1:8">
      <c r="A19">
        <v>5.2270000000000003</v>
      </c>
      <c r="B19">
        <v>5.2750000000000004</v>
      </c>
      <c r="C19">
        <v>120</v>
      </c>
      <c r="D19">
        <v>121</v>
      </c>
      <c r="E19" s="9">
        <v>5.2495000000000003</v>
      </c>
      <c r="F19">
        <f t="shared" si="0"/>
        <v>120.46875</v>
      </c>
      <c r="H19" s="8">
        <v>120.46875</v>
      </c>
    </row>
    <row r="20" spans="1:8">
      <c r="A20">
        <v>0.58899999999999997</v>
      </c>
      <c r="B20">
        <v>0.629</v>
      </c>
      <c r="C20">
        <v>15</v>
      </c>
      <c r="D20">
        <v>16</v>
      </c>
      <c r="E20" s="9">
        <v>0.60799999999999998</v>
      </c>
      <c r="F20">
        <f t="shared" si="0"/>
        <v>15.475</v>
      </c>
      <c r="H20" s="8">
        <v>15.475</v>
      </c>
    </row>
    <row r="21" spans="1:8">
      <c r="A21">
        <v>0.58899999999999997</v>
      </c>
      <c r="B21">
        <v>0.629</v>
      </c>
      <c r="C21">
        <v>15</v>
      </c>
      <c r="D21">
        <v>16</v>
      </c>
      <c r="E21" s="9">
        <v>0.6</v>
      </c>
      <c r="F21">
        <f t="shared" si="0"/>
        <v>15.275</v>
      </c>
      <c r="H21" s="8">
        <v>15.275</v>
      </c>
    </row>
    <row r="22" spans="1:8">
      <c r="A22">
        <v>0.87</v>
      </c>
      <c r="B22">
        <v>0.91100000000000003</v>
      </c>
      <c r="C22">
        <v>22</v>
      </c>
      <c r="E22" s="9">
        <v>0.88300000000000001</v>
      </c>
      <c r="F22">
        <f t="shared" si="0"/>
        <v>22.317073170731707</v>
      </c>
      <c r="H22" s="8">
        <v>22.317073170731707</v>
      </c>
    </row>
    <row r="23" spans="1:8">
      <c r="A23">
        <v>0.629</v>
      </c>
      <c r="B23">
        <v>0.66900000000000004</v>
      </c>
      <c r="C23">
        <v>16</v>
      </c>
      <c r="E23" s="9">
        <v>0.63800000000000001</v>
      </c>
      <c r="F23">
        <f t="shared" si="0"/>
        <v>16.225000000000001</v>
      </c>
      <c r="H23" s="8">
        <v>16.225000000000001</v>
      </c>
    </row>
    <row r="24" spans="1:8">
      <c r="A24">
        <v>0.58899999999999997</v>
      </c>
      <c r="B24">
        <v>0.629</v>
      </c>
      <c r="C24">
        <v>15</v>
      </c>
      <c r="D24">
        <v>16</v>
      </c>
      <c r="E24" s="9">
        <v>0.59899999999999998</v>
      </c>
      <c r="F24">
        <f t="shared" si="0"/>
        <v>15.25</v>
      </c>
      <c r="H24" s="8">
        <v>15.25</v>
      </c>
    </row>
    <row r="25" spans="1:8">
      <c r="C25">
        <v>21</v>
      </c>
      <c r="E25" s="9">
        <v>0.83</v>
      </c>
      <c r="F25">
        <v>21</v>
      </c>
      <c r="H25" s="8">
        <v>21</v>
      </c>
    </row>
    <row r="26" spans="1:8">
      <c r="E26" s="9"/>
      <c r="H26" s="8"/>
    </row>
    <row r="27" spans="1:8">
      <c r="A27">
        <v>30</v>
      </c>
      <c r="B27">
        <v>40</v>
      </c>
      <c r="C27">
        <v>2.67</v>
      </c>
      <c r="D27">
        <v>2.76</v>
      </c>
      <c r="E27" s="8">
        <v>37.411918604651163</v>
      </c>
      <c r="F27" s="8">
        <f>(D27-C27)*(E27-A27)/(B27-A27)+C27</f>
        <v>2.7367072674418602</v>
      </c>
      <c r="G27" s="9">
        <f>F27/100</f>
        <v>2.7367072674418604E-2</v>
      </c>
      <c r="H27" s="10">
        <v>2.7367072674418604E-2</v>
      </c>
    </row>
    <row r="28" spans="1:8">
      <c r="A28">
        <v>40</v>
      </c>
      <c r="B28">
        <v>50</v>
      </c>
      <c r="C28">
        <v>2.76</v>
      </c>
      <c r="D28">
        <v>2.83</v>
      </c>
      <c r="E28" s="8">
        <v>42.995833333333337</v>
      </c>
      <c r="F28" s="8">
        <f t="shared" ref="F28:F44" si="1">(D28-C28)*(E28-A28)/(B28-A28)+C28</f>
        <v>2.7809708333333334</v>
      </c>
      <c r="G28" s="9">
        <f t="shared" ref="G28:G33" si="2">F28/100</f>
        <v>2.7809708333333336E-2</v>
      </c>
      <c r="H28" s="10">
        <v>2.7809708333333336E-2</v>
      </c>
    </row>
    <row r="29" spans="1:8">
      <c r="A29">
        <v>40</v>
      </c>
      <c r="B29">
        <v>50</v>
      </c>
      <c r="C29">
        <v>2.76</v>
      </c>
      <c r="D29">
        <v>2.83</v>
      </c>
      <c r="E29" s="8">
        <v>48.069647696476956</v>
      </c>
      <c r="F29" s="8">
        <f t="shared" si="1"/>
        <v>2.8164875338753386</v>
      </c>
      <c r="G29" s="9">
        <f t="shared" si="2"/>
        <v>2.8164875338753385E-2</v>
      </c>
      <c r="H29" s="10">
        <v>2.8164875338753385E-2</v>
      </c>
    </row>
    <row r="30" spans="1:8">
      <c r="A30">
        <v>50</v>
      </c>
      <c r="B30">
        <v>60</v>
      </c>
      <c r="C30">
        <v>2.83</v>
      </c>
      <c r="D30">
        <v>2.9</v>
      </c>
      <c r="E30" s="8">
        <v>57.189627659574469</v>
      </c>
      <c r="F30" s="8">
        <f t="shared" si="1"/>
        <v>2.8803273936170211</v>
      </c>
      <c r="G30" s="9">
        <f t="shared" si="2"/>
        <v>2.8803273936170212E-2</v>
      </c>
      <c r="H30" s="10">
        <v>2.8803273936170212E-2</v>
      </c>
    </row>
    <row r="31" spans="1:8">
      <c r="A31">
        <v>60</v>
      </c>
      <c r="B31">
        <v>70</v>
      </c>
      <c r="C31">
        <v>2.9</v>
      </c>
      <c r="D31">
        <v>2.96</v>
      </c>
      <c r="E31" s="8">
        <v>64.760204081632651</v>
      </c>
      <c r="F31" s="8">
        <f t="shared" si="1"/>
        <v>2.9285612244897958</v>
      </c>
      <c r="G31" s="9">
        <f t="shared" si="2"/>
        <v>2.9285612244897959E-2</v>
      </c>
      <c r="H31" s="10">
        <v>2.9285612244897959E-2</v>
      </c>
    </row>
    <row r="32" spans="1:8">
      <c r="A32">
        <v>70</v>
      </c>
      <c r="B32">
        <v>80</v>
      </c>
      <c r="C32">
        <v>2.96</v>
      </c>
      <c r="D32">
        <v>3.05</v>
      </c>
      <c r="E32" s="8">
        <v>70.734375</v>
      </c>
      <c r="F32" s="8">
        <f t="shared" si="1"/>
        <v>2.966609375</v>
      </c>
      <c r="G32" s="9">
        <f t="shared" si="2"/>
        <v>2.9666093750000001E-2</v>
      </c>
      <c r="H32" s="10">
        <v>2.9666093750000001E-2</v>
      </c>
    </row>
    <row r="33" spans="1:8">
      <c r="A33">
        <v>30</v>
      </c>
      <c r="B33">
        <v>40</v>
      </c>
      <c r="C33">
        <v>16</v>
      </c>
      <c r="D33">
        <v>16.96</v>
      </c>
      <c r="E33" s="8">
        <v>37.411918604651163</v>
      </c>
      <c r="F33" s="8">
        <f t="shared" si="1"/>
        <v>16.711544186046513</v>
      </c>
      <c r="G33" s="14">
        <f>F33/1000000</f>
        <v>1.6711544186046512E-5</v>
      </c>
      <c r="H33">
        <v>1.6711544186046512E-5</v>
      </c>
    </row>
    <row r="34" spans="1:8">
      <c r="A34">
        <v>40</v>
      </c>
      <c r="B34">
        <v>50</v>
      </c>
      <c r="C34">
        <v>16.96</v>
      </c>
      <c r="D34">
        <v>17.95</v>
      </c>
      <c r="E34" s="8">
        <v>42.995833333333337</v>
      </c>
      <c r="F34" s="8">
        <f t="shared" si="1"/>
        <v>17.256587500000002</v>
      </c>
      <c r="G34" s="14">
        <f t="shared" ref="G34:G39" si="3">F34/1000000</f>
        <v>1.7256587500000003E-5</v>
      </c>
      <c r="H34">
        <v>1.7256587500000003E-5</v>
      </c>
    </row>
    <row r="35" spans="1:8">
      <c r="A35">
        <v>40</v>
      </c>
      <c r="B35">
        <v>50</v>
      </c>
      <c r="C35">
        <v>16.96</v>
      </c>
      <c r="D35">
        <v>17.95</v>
      </c>
      <c r="E35" s="8">
        <v>48.069647696476956</v>
      </c>
      <c r="F35" s="8">
        <f t="shared" si="1"/>
        <v>17.75889512195122</v>
      </c>
      <c r="G35" s="14">
        <f t="shared" si="3"/>
        <v>1.775889512195122E-5</v>
      </c>
      <c r="H35">
        <v>1.775889512195122E-5</v>
      </c>
    </row>
    <row r="36" spans="1:8">
      <c r="A36">
        <v>50</v>
      </c>
      <c r="B36">
        <v>60</v>
      </c>
      <c r="C36">
        <v>17.95</v>
      </c>
      <c r="D36">
        <v>18.97</v>
      </c>
      <c r="E36" s="8">
        <v>57.189627659574469</v>
      </c>
      <c r="F36" s="8">
        <f t="shared" si="1"/>
        <v>18.683342021276594</v>
      </c>
      <c r="G36" s="14">
        <f t="shared" si="3"/>
        <v>1.8683342021276593E-5</v>
      </c>
      <c r="H36">
        <v>1.8683342021276593E-5</v>
      </c>
    </row>
    <row r="37" spans="1:8">
      <c r="A37">
        <v>60</v>
      </c>
      <c r="B37">
        <v>70</v>
      </c>
      <c r="C37">
        <v>18.920000000000002</v>
      </c>
      <c r="D37">
        <v>20.02</v>
      </c>
      <c r="E37" s="8">
        <v>64.760204081632651</v>
      </c>
      <c r="F37" s="8">
        <f t="shared" si="1"/>
        <v>19.443622448979593</v>
      </c>
      <c r="G37" s="14">
        <f t="shared" si="3"/>
        <v>1.9443622448979593E-5</v>
      </c>
      <c r="H37">
        <v>1.9443622448979593E-5</v>
      </c>
    </row>
    <row r="38" spans="1:8">
      <c r="A38">
        <v>70</v>
      </c>
      <c r="B38">
        <v>80</v>
      </c>
      <c r="C38">
        <v>20.02</v>
      </c>
      <c r="D38">
        <v>21.09</v>
      </c>
      <c r="E38" s="8">
        <v>70.734375</v>
      </c>
      <c r="F38" s="8">
        <f t="shared" si="1"/>
        <v>20.098578125</v>
      </c>
      <c r="G38" s="14">
        <f t="shared" si="3"/>
        <v>2.0098578125E-5</v>
      </c>
      <c r="H38">
        <v>2.0098578125E-5</v>
      </c>
    </row>
    <row r="39" spans="1:8">
      <c r="A39">
        <v>30</v>
      </c>
      <c r="B39">
        <v>40</v>
      </c>
      <c r="C39">
        <v>1.165</v>
      </c>
      <c r="D39">
        <v>1.1279999999999999</v>
      </c>
      <c r="E39" s="8">
        <v>37.411918604651163</v>
      </c>
      <c r="F39" s="10">
        <f t="shared" si="1"/>
        <v>1.1375759011627906</v>
      </c>
      <c r="G39" s="15">
        <v>1.1375759011627906</v>
      </c>
    </row>
    <row r="40" spans="1:8">
      <c r="A40">
        <v>40</v>
      </c>
      <c r="B40">
        <v>50</v>
      </c>
      <c r="C40">
        <v>1.1279999999999999</v>
      </c>
      <c r="D40">
        <v>1.093</v>
      </c>
      <c r="E40" s="8">
        <v>42.995833333333337</v>
      </c>
      <c r="F40" s="10">
        <f t="shared" si="1"/>
        <v>1.1175145833333333</v>
      </c>
      <c r="G40" s="15">
        <v>1.1175145833333333</v>
      </c>
    </row>
    <row r="41" spans="1:8">
      <c r="A41">
        <v>40</v>
      </c>
      <c r="B41">
        <v>50</v>
      </c>
      <c r="C41">
        <v>1.1279999999999999</v>
      </c>
      <c r="D41">
        <v>1.093</v>
      </c>
      <c r="E41" s="8">
        <v>48.069647696476956</v>
      </c>
      <c r="F41" s="10">
        <f t="shared" si="1"/>
        <v>1.0997562330623305</v>
      </c>
      <c r="G41" s="15">
        <v>1.0997562330623305</v>
      </c>
    </row>
    <row r="42" spans="1:8">
      <c r="A42">
        <v>50</v>
      </c>
      <c r="B42">
        <v>60</v>
      </c>
      <c r="C42">
        <v>1.093</v>
      </c>
      <c r="D42">
        <v>1.06</v>
      </c>
      <c r="E42" s="8">
        <v>57.189627659574469</v>
      </c>
      <c r="F42" s="10">
        <f t="shared" si="1"/>
        <v>1.0692742287234043</v>
      </c>
      <c r="G42" s="15">
        <v>1.0692742287234043</v>
      </c>
    </row>
    <row r="43" spans="1:8">
      <c r="A43">
        <v>60</v>
      </c>
      <c r="B43">
        <v>70</v>
      </c>
      <c r="C43">
        <v>1.06</v>
      </c>
      <c r="D43">
        <v>1.0289999999999999</v>
      </c>
      <c r="E43" s="8">
        <v>64.760204081632651</v>
      </c>
      <c r="F43" s="10">
        <f t="shared" si="1"/>
        <v>1.0452433673469388</v>
      </c>
      <c r="G43" s="15">
        <v>1.0452433673469388</v>
      </c>
    </row>
    <row r="44" spans="1:8">
      <c r="A44">
        <v>70</v>
      </c>
      <c r="B44">
        <v>80</v>
      </c>
      <c r="C44">
        <v>1.0289999999999999</v>
      </c>
      <c r="D44">
        <v>1</v>
      </c>
      <c r="E44" s="8">
        <v>70.734375</v>
      </c>
      <c r="F44" s="10">
        <f t="shared" si="1"/>
        <v>1.0268703124999998</v>
      </c>
      <c r="G44" s="15">
        <v>1.0268703124999998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4" x14ac:dyDescent="0"/>
  <sheetData/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工作表1</vt:lpstr>
      <vt:lpstr>工作表2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2014-12-12T09:02:51Z</dcterms:modified>
</cp:coreProperties>
</file>