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yu2022\Desktop\"/>
    </mc:Choice>
  </mc:AlternateContent>
  <xr:revisionPtr revIDLastSave="0" documentId="13_ncr:1_{7245FB33-A113-45BA-A36A-1D668E94B90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36" i="1" s="1"/>
  <c r="A11" i="1"/>
  <c r="A12" i="1" s="1"/>
  <c r="A13" i="1" s="1"/>
  <c r="B13" i="1" s="1"/>
  <c r="C11" i="1"/>
  <c r="C36" i="1" s="1"/>
  <c r="B10" i="1"/>
  <c r="B35" i="1" s="1"/>
  <c r="C34" i="1"/>
  <c r="B34" i="1"/>
  <c r="B27" i="1"/>
  <c r="B28" i="1"/>
  <c r="B29" i="1"/>
  <c r="B30" i="1"/>
  <c r="B26" i="1"/>
  <c r="B38" i="1" l="1"/>
  <c r="C13" i="1"/>
  <c r="B12" i="1"/>
  <c r="B46" i="1"/>
  <c r="A14" i="1"/>
  <c r="B14" i="1" s="1"/>
  <c r="B31" i="1"/>
  <c r="C14" i="1" l="1"/>
  <c r="B39" i="1"/>
  <c r="B47" i="1"/>
  <c r="L47" i="1" s="1"/>
  <c r="L46" i="1"/>
  <c r="B48" i="1"/>
  <c r="L48" i="1" s="1"/>
  <c r="C47" i="1"/>
  <c r="M47" i="1" s="1"/>
  <c r="B37" i="1"/>
  <c r="C12" i="1"/>
  <c r="D13" i="1"/>
  <c r="C38" i="1"/>
  <c r="A15" i="1"/>
  <c r="D14" i="1" l="1"/>
  <c r="C39" i="1"/>
  <c r="C48" i="1"/>
  <c r="E13" i="1"/>
  <c r="D38" i="1"/>
  <c r="D12" i="1"/>
  <c r="C37" i="1"/>
  <c r="A16" i="1"/>
  <c r="B15" i="1"/>
  <c r="D48" i="1" l="1"/>
  <c r="N48" i="1" s="1"/>
  <c r="M48" i="1"/>
  <c r="E14" i="1"/>
  <c r="D39" i="1"/>
  <c r="C15" i="1"/>
  <c r="B40" i="1"/>
  <c r="F13" i="1"/>
  <c r="E38" i="1"/>
  <c r="A17" i="1"/>
  <c r="B16" i="1"/>
  <c r="C16" i="1" s="1"/>
  <c r="D37" i="1"/>
  <c r="E12" i="1"/>
  <c r="E37" i="1" s="1"/>
  <c r="B49" i="1" l="1"/>
  <c r="D15" i="1"/>
  <c r="C40" i="1"/>
  <c r="F14" i="1"/>
  <c r="E39" i="1"/>
  <c r="G13" i="1"/>
  <c r="F38" i="1"/>
  <c r="A18" i="1"/>
  <c r="B17" i="1"/>
  <c r="C17" i="1" s="1"/>
  <c r="G14" i="1" l="1"/>
  <c r="F39" i="1"/>
  <c r="D40" i="1"/>
  <c r="E15" i="1"/>
  <c r="L49" i="1"/>
  <c r="C49" i="1"/>
  <c r="H13" i="1"/>
  <c r="G38" i="1"/>
  <c r="A19" i="1"/>
  <c r="B18" i="1"/>
  <c r="C18" i="1" s="1"/>
  <c r="D49" i="1" l="1"/>
  <c r="M49" i="1"/>
  <c r="E40" i="1"/>
  <c r="F15" i="1"/>
  <c r="H14" i="1"/>
  <c r="G39" i="1"/>
  <c r="I13" i="1"/>
  <c r="I38" i="1" s="1"/>
  <c r="H38" i="1"/>
  <c r="B50" i="1" s="1"/>
  <c r="A20" i="1"/>
  <c r="B20" i="1" s="1"/>
  <c r="C20" i="1" s="1"/>
  <c r="B19" i="1"/>
  <c r="C19" i="1" s="1"/>
  <c r="C50" i="1" l="1"/>
  <c r="L50" i="1"/>
  <c r="I14" i="1"/>
  <c r="H39" i="1"/>
  <c r="F40" i="1"/>
  <c r="G15" i="1"/>
  <c r="E49" i="1"/>
  <c r="O49" i="1" s="1"/>
  <c r="N49" i="1"/>
  <c r="M50" i="1" l="1"/>
  <c r="D50" i="1"/>
  <c r="G40" i="1"/>
  <c r="H15" i="1"/>
  <c r="J14" i="1"/>
  <c r="I39" i="1"/>
  <c r="K14" i="1" l="1"/>
  <c r="J39" i="1"/>
  <c r="H40" i="1"/>
  <c r="I15" i="1"/>
  <c r="E50" i="1"/>
  <c r="N50" i="1"/>
  <c r="F50" i="1" l="1"/>
  <c r="P50" i="1" s="1"/>
  <c r="O50" i="1"/>
  <c r="J15" i="1"/>
  <c r="I40" i="1"/>
  <c r="L14" i="1"/>
  <c r="K39" i="1"/>
  <c r="M14" i="1" l="1"/>
  <c r="L39" i="1"/>
  <c r="K15" i="1"/>
  <c r="J40" i="1"/>
  <c r="L15" i="1" l="1"/>
  <c r="K40" i="1"/>
  <c r="N14" i="1"/>
  <c r="M39" i="1"/>
  <c r="N39" i="1" l="1"/>
  <c r="O14" i="1"/>
  <c r="M15" i="1"/>
  <c r="L40" i="1"/>
  <c r="N15" i="1" l="1"/>
  <c r="M40" i="1"/>
  <c r="P14" i="1"/>
  <c r="O39" i="1"/>
  <c r="Q14" i="1" l="1"/>
  <c r="Q39" i="1" s="1"/>
  <c r="P39" i="1"/>
  <c r="O15" i="1"/>
  <c r="N40" i="1"/>
  <c r="P15" i="1" l="1"/>
  <c r="O40" i="1"/>
  <c r="B51" i="1"/>
  <c r="L51" i="1" l="1"/>
  <c r="C51" i="1"/>
  <c r="Q15" i="1"/>
  <c r="P40" i="1"/>
  <c r="R15" i="1" l="1"/>
  <c r="Q40" i="1"/>
  <c r="D51" i="1"/>
  <c r="M51" i="1"/>
  <c r="N51" i="1" l="1"/>
  <c r="E51" i="1"/>
  <c r="S15" i="1"/>
  <c r="R40" i="1"/>
  <c r="T15" i="1" l="1"/>
  <c r="S40" i="1"/>
  <c r="F51" i="1"/>
  <c r="O51" i="1"/>
  <c r="P51" i="1" l="1"/>
  <c r="G51" i="1"/>
  <c r="Q51" i="1" s="1"/>
  <c r="U15" i="1"/>
  <c r="T40" i="1"/>
  <c r="V15" i="1" l="1"/>
  <c r="U40" i="1"/>
  <c r="W15" i="1" l="1"/>
  <c r="V40" i="1"/>
  <c r="X15" i="1" l="1"/>
  <c r="W40" i="1"/>
  <c r="Y15" i="1" l="1"/>
  <c r="X40" i="1"/>
  <c r="Z15" i="1" l="1"/>
  <c r="Y40" i="1"/>
  <c r="AA15" i="1" l="1"/>
  <c r="Z40" i="1"/>
  <c r="AB15" i="1" l="1"/>
  <c r="AA40" i="1"/>
  <c r="AC15" i="1" l="1"/>
  <c r="AB40" i="1"/>
  <c r="AD15" i="1" l="1"/>
  <c r="AC40" i="1"/>
  <c r="AE15" i="1" l="1"/>
  <c r="AD40" i="1"/>
  <c r="AE40" i="1" l="1"/>
  <c r="AF15" i="1"/>
  <c r="AF40" i="1" l="1"/>
  <c r="AG15" i="1"/>
  <c r="AG40" i="1" s="1"/>
  <c r="B52" i="1" s="1"/>
  <c r="L52" i="1" l="1"/>
  <c r="C52" i="1"/>
  <c r="M52" i="1" l="1"/>
  <c r="D52" i="1"/>
  <c r="E52" i="1" l="1"/>
  <c r="N52" i="1"/>
  <c r="O52" i="1" l="1"/>
  <c r="F52" i="1"/>
  <c r="P52" i="1" l="1"/>
  <c r="G52" i="1"/>
  <c r="Q52" i="1" l="1"/>
  <c r="H52" i="1"/>
  <c r="R5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0000000_ "/>
    <numFmt numFmtId="181" formatCode="0.0000000000_);[Red]\(0.0000000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0" fontId="0" fillId="0" borderId="0" xfId="0" applyNumberFormat="1"/>
    <xf numFmtId="180" fontId="2" fillId="0" borderId="0" xfId="0" applyNumberFormat="1" applyFont="1"/>
    <xf numFmtId="181" fontId="0" fillId="0" borderId="0" xfId="0" applyNumberFormat="1"/>
    <xf numFmtId="0" fontId="3" fillId="0" borderId="0" xfId="0" applyFont="1"/>
    <xf numFmtId="180" fontId="3" fillId="0" borderId="0" xfId="0" applyNumberFormat="1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"/>
  <sheetViews>
    <sheetView tabSelected="1" topLeftCell="A2" workbookViewId="0">
      <selection activeCell="D16" sqref="D16"/>
    </sheetView>
  </sheetViews>
  <sheetFormatPr defaultRowHeight="13.9" x14ac:dyDescent="0.4"/>
  <cols>
    <col min="1" max="1" width="6.06640625" customWidth="1"/>
    <col min="2" max="3" width="14.265625" style="1" bestFit="1" customWidth="1"/>
    <col min="4" max="8" width="14.265625" style="1" customWidth="1"/>
    <col min="9" max="9" width="7.06640625" style="1" customWidth="1"/>
    <col min="10" max="10" width="6.53125" customWidth="1"/>
    <col min="11" max="11" width="6.6640625" style="1" customWidth="1"/>
    <col min="12" max="12" width="6.3984375" style="3" customWidth="1"/>
    <col min="13" max="13" width="6.796875" customWidth="1"/>
    <col min="14" max="14" width="6.6640625" customWidth="1"/>
    <col min="15" max="15" width="4.796875" customWidth="1"/>
    <col min="16" max="17" width="13.19921875" customWidth="1"/>
    <col min="18" max="19" width="13.19921875" style="4" customWidth="1"/>
    <col min="20" max="24" width="14.265625" style="1" bestFit="1" customWidth="1"/>
    <col min="25" max="26" width="9.06640625" style="1"/>
    <col min="29" max="34" width="13.19921875" bestFit="1" customWidth="1"/>
    <col min="37" max="37" width="13.19921875" bestFit="1" customWidth="1"/>
  </cols>
  <sheetData>
    <row r="1" spans="1:37" x14ac:dyDescent="0.4">
      <c r="B1" s="1">
        <v>0.23692688510000001</v>
      </c>
      <c r="C1" s="2">
        <v>-0.9061798459</v>
      </c>
      <c r="D1" s="2"/>
      <c r="E1" s="2"/>
      <c r="F1" s="2"/>
      <c r="G1" s="2"/>
      <c r="H1" s="2"/>
      <c r="I1" s="2"/>
    </row>
    <row r="2" spans="1:37" x14ac:dyDescent="0.4">
      <c r="B2" s="1">
        <v>0.47862867050000002</v>
      </c>
      <c r="C2" s="1">
        <v>-0.53846931009999999</v>
      </c>
    </row>
    <row r="3" spans="1:37" x14ac:dyDescent="0.4">
      <c r="B3" s="1">
        <v>0.5688888889</v>
      </c>
      <c r="C3" s="1">
        <v>0</v>
      </c>
    </row>
    <row r="4" spans="1:37" x14ac:dyDescent="0.4">
      <c r="B4" s="1">
        <v>0.47862867050000002</v>
      </c>
      <c r="C4" s="1">
        <v>0.53846931009999999</v>
      </c>
    </row>
    <row r="5" spans="1:37" x14ac:dyDescent="0.4">
      <c r="B5" s="1">
        <v>0.23692688510000001</v>
      </c>
      <c r="C5" s="1">
        <v>0.9061798459</v>
      </c>
    </row>
    <row r="9" spans="1:37" x14ac:dyDescent="0.4">
      <c r="B9" s="1">
        <v>1</v>
      </c>
      <c r="C9" s="1">
        <v>3</v>
      </c>
    </row>
    <row r="10" spans="1:37" x14ac:dyDescent="0.4">
      <c r="A10">
        <v>2</v>
      </c>
      <c r="B10" s="1">
        <f>(B9+C9)/2</f>
        <v>2</v>
      </c>
    </row>
    <row r="11" spans="1:37" x14ac:dyDescent="0.4">
      <c r="A11">
        <f>A10/2</f>
        <v>1</v>
      </c>
      <c r="B11" s="1">
        <f>1.5</f>
        <v>1.5</v>
      </c>
      <c r="C11" s="1">
        <f>2.5</f>
        <v>2.5</v>
      </c>
    </row>
    <row r="12" spans="1:37" x14ac:dyDescent="0.4">
      <c r="A12">
        <f t="shared" ref="A12:A20" si="0">A11/2</f>
        <v>0.5</v>
      </c>
      <c r="B12" s="1">
        <f>1+A12/2</f>
        <v>1.25</v>
      </c>
      <c r="C12" s="1">
        <f>B12+$A12</f>
        <v>1.75</v>
      </c>
      <c r="D12" s="1">
        <f t="shared" ref="D12:E12" si="1">C12+$A12</f>
        <v>2.25</v>
      </c>
      <c r="E12" s="1">
        <f t="shared" si="1"/>
        <v>2.75</v>
      </c>
      <c r="S12" s="5"/>
    </row>
    <row r="13" spans="1:37" x14ac:dyDescent="0.4">
      <c r="A13">
        <f t="shared" si="0"/>
        <v>0.25</v>
      </c>
      <c r="B13" s="1">
        <f>1+A13/2</f>
        <v>1.125</v>
      </c>
      <c r="C13" s="1">
        <f>B13+$A13</f>
        <v>1.375</v>
      </c>
      <c r="D13" s="1">
        <f t="shared" ref="D13:H13" si="2">C13+$A13</f>
        <v>1.625</v>
      </c>
      <c r="E13" s="1">
        <f t="shared" si="2"/>
        <v>1.875</v>
      </c>
      <c r="F13" s="1">
        <f t="shared" si="2"/>
        <v>2.125</v>
      </c>
      <c r="G13" s="1">
        <f t="shared" si="2"/>
        <v>2.375</v>
      </c>
      <c r="H13" s="1">
        <f t="shared" si="2"/>
        <v>2.625</v>
      </c>
      <c r="I13" s="1">
        <f>H13+$A13</f>
        <v>2.875</v>
      </c>
      <c r="S13" s="1"/>
    </row>
    <row r="14" spans="1:37" x14ac:dyDescent="0.4">
      <c r="A14">
        <f t="shared" si="0"/>
        <v>0.125</v>
      </c>
      <c r="B14" s="1">
        <f t="shared" ref="B14:B20" si="3">1+A14/2</f>
        <v>1.0625</v>
      </c>
      <c r="C14" s="1">
        <f t="shared" ref="C14:R20" si="4">B14+$A14</f>
        <v>1.1875</v>
      </c>
      <c r="D14" s="1">
        <f t="shared" si="4"/>
        <v>1.3125</v>
      </c>
      <c r="E14" s="1">
        <f t="shared" si="4"/>
        <v>1.4375</v>
      </c>
      <c r="F14" s="1">
        <f t="shared" si="4"/>
        <v>1.5625</v>
      </c>
      <c r="G14" s="1">
        <f t="shared" si="4"/>
        <v>1.6875</v>
      </c>
      <c r="H14" s="1">
        <f t="shared" si="4"/>
        <v>1.8125</v>
      </c>
      <c r="I14" s="1">
        <f>H14+$A14</f>
        <v>1.9375</v>
      </c>
      <c r="J14" s="1">
        <f t="shared" si="4"/>
        <v>2.0625</v>
      </c>
      <c r="K14" s="1">
        <f t="shared" si="4"/>
        <v>2.1875</v>
      </c>
      <c r="L14" s="1">
        <f t="shared" si="4"/>
        <v>2.3125</v>
      </c>
      <c r="M14" s="1">
        <f t="shared" si="4"/>
        <v>2.4375</v>
      </c>
      <c r="N14" s="1">
        <f t="shared" si="4"/>
        <v>2.5625</v>
      </c>
      <c r="O14" s="1">
        <f t="shared" si="4"/>
        <v>2.6875</v>
      </c>
      <c r="P14" s="1">
        <f t="shared" si="4"/>
        <v>2.8125</v>
      </c>
      <c r="Q14" s="1">
        <f t="shared" si="4"/>
        <v>2.9375</v>
      </c>
    </row>
    <row r="15" spans="1:37" x14ac:dyDescent="0.4">
      <c r="A15">
        <f t="shared" si="0"/>
        <v>6.25E-2</v>
      </c>
      <c r="B15" s="1">
        <f t="shared" si="3"/>
        <v>1.03125</v>
      </c>
      <c r="C15" s="1">
        <f t="shared" si="4"/>
        <v>1.09375</v>
      </c>
      <c r="D15" s="1">
        <f t="shared" si="4"/>
        <v>1.15625</v>
      </c>
      <c r="E15" s="1">
        <f t="shared" si="4"/>
        <v>1.21875</v>
      </c>
      <c r="F15" s="1">
        <f t="shared" si="4"/>
        <v>1.28125</v>
      </c>
      <c r="G15" s="1">
        <f t="shared" si="4"/>
        <v>1.34375</v>
      </c>
      <c r="H15" s="1">
        <f t="shared" si="4"/>
        <v>1.40625</v>
      </c>
      <c r="I15" s="1">
        <f>H15+$A15</f>
        <v>1.46875</v>
      </c>
      <c r="J15" s="1">
        <f t="shared" si="4"/>
        <v>1.53125</v>
      </c>
      <c r="K15" s="1">
        <f t="shared" si="4"/>
        <v>1.59375</v>
      </c>
      <c r="L15" s="1">
        <f t="shared" si="4"/>
        <v>1.65625</v>
      </c>
      <c r="M15" s="1">
        <f t="shared" si="4"/>
        <v>1.71875</v>
      </c>
      <c r="N15" s="1">
        <f t="shared" si="4"/>
        <v>1.78125</v>
      </c>
      <c r="O15" s="1">
        <f t="shared" si="4"/>
        <v>1.84375</v>
      </c>
      <c r="P15" s="1">
        <f t="shared" si="4"/>
        <v>1.90625</v>
      </c>
      <c r="Q15" s="1">
        <f t="shared" si="4"/>
        <v>1.96875</v>
      </c>
      <c r="R15" s="1">
        <f t="shared" si="4"/>
        <v>2.03125</v>
      </c>
      <c r="S15" s="1">
        <f t="shared" ref="S15:AG15" si="5">R15+$A15</f>
        <v>2.09375</v>
      </c>
      <c r="T15" s="1">
        <f t="shared" si="5"/>
        <v>2.15625</v>
      </c>
      <c r="U15" s="1">
        <f t="shared" si="5"/>
        <v>2.21875</v>
      </c>
      <c r="V15" s="1">
        <f t="shared" si="5"/>
        <v>2.28125</v>
      </c>
      <c r="W15" s="1">
        <f t="shared" si="5"/>
        <v>2.34375</v>
      </c>
      <c r="X15" s="1">
        <f t="shared" si="5"/>
        <v>2.40625</v>
      </c>
      <c r="Y15" s="1">
        <f t="shared" si="5"/>
        <v>2.46875</v>
      </c>
      <c r="Z15" s="1">
        <f t="shared" si="5"/>
        <v>2.53125</v>
      </c>
      <c r="AA15" s="1">
        <f t="shared" si="5"/>
        <v>2.59375</v>
      </c>
      <c r="AB15" s="1">
        <f t="shared" si="5"/>
        <v>2.65625</v>
      </c>
      <c r="AC15" s="1">
        <f t="shared" si="5"/>
        <v>2.71875</v>
      </c>
      <c r="AD15" s="1">
        <f t="shared" si="5"/>
        <v>2.78125</v>
      </c>
      <c r="AE15" s="1">
        <f t="shared" si="5"/>
        <v>2.84375</v>
      </c>
      <c r="AF15" s="1">
        <f t="shared" si="5"/>
        <v>2.90625</v>
      </c>
      <c r="AG15" s="1">
        <f t="shared" si="5"/>
        <v>2.96875</v>
      </c>
      <c r="AH15" s="1"/>
      <c r="AI15" s="1"/>
      <c r="AJ15" s="1"/>
      <c r="AK15" s="1"/>
    </row>
    <row r="16" spans="1:37" x14ac:dyDescent="0.4">
      <c r="A16">
        <f t="shared" si="0"/>
        <v>3.125E-2</v>
      </c>
      <c r="B16" s="1">
        <f t="shared" si="3"/>
        <v>1.015625</v>
      </c>
      <c r="C16" s="1">
        <f t="shared" si="4"/>
        <v>1.046875</v>
      </c>
    </row>
    <row r="17" spans="1:9" x14ac:dyDescent="0.4">
      <c r="A17">
        <f t="shared" si="0"/>
        <v>1.5625E-2</v>
      </c>
      <c r="B17" s="1">
        <f t="shared" si="3"/>
        <v>1.0078125</v>
      </c>
      <c r="C17" s="1">
        <f t="shared" si="4"/>
        <v>1.0234375</v>
      </c>
    </row>
    <row r="18" spans="1:9" x14ac:dyDescent="0.4">
      <c r="A18">
        <f t="shared" si="0"/>
        <v>7.8125E-3</v>
      </c>
      <c r="B18" s="1">
        <f t="shared" si="3"/>
        <v>1.00390625</v>
      </c>
      <c r="C18" s="1">
        <f t="shared" si="4"/>
        <v>1.01171875</v>
      </c>
    </row>
    <row r="19" spans="1:9" x14ac:dyDescent="0.4">
      <c r="A19">
        <f t="shared" si="0"/>
        <v>3.90625E-3</v>
      </c>
      <c r="B19" s="1">
        <f t="shared" si="3"/>
        <v>1.001953125</v>
      </c>
      <c r="C19" s="1">
        <f t="shared" si="4"/>
        <v>1.005859375</v>
      </c>
    </row>
    <row r="20" spans="1:9" x14ac:dyDescent="0.4">
      <c r="A20">
        <f t="shared" si="0"/>
        <v>1.953125E-3</v>
      </c>
      <c r="B20" s="1">
        <f t="shared" si="3"/>
        <v>1.0009765625</v>
      </c>
      <c r="C20" s="1">
        <f t="shared" si="4"/>
        <v>1.0029296875</v>
      </c>
    </row>
    <row r="26" spans="1:9" x14ac:dyDescent="0.4">
      <c r="B26" s="1">
        <f>B1*1/(C1+2)^2*SIN(PI()*2/(C1+2))</f>
        <v>-0.10163008598715</v>
      </c>
      <c r="C26" s="3"/>
      <c r="D26"/>
      <c r="E26"/>
      <c r="F26"/>
      <c r="G26"/>
      <c r="H26"/>
      <c r="I26" s="4"/>
    </row>
    <row r="27" spans="1:9" x14ac:dyDescent="0.4">
      <c r="B27" s="1">
        <f>B2*1/(C2+2)^2*SIN(PI()*2/(C2+2))</f>
        <v>-0.20519896966481149</v>
      </c>
      <c r="C27" s="3"/>
      <c r="D27"/>
      <c r="E27"/>
      <c r="F27"/>
      <c r="G27"/>
      <c r="H27"/>
      <c r="I27" s="4"/>
    </row>
    <row r="28" spans="1:9" x14ac:dyDescent="0.4">
      <c r="B28" s="1">
        <f>B3*1/(C3+2)^2*SIN(PI()*2/(C3+2))</f>
        <v>1.7424333581262915E-17</v>
      </c>
      <c r="C28" s="3"/>
      <c r="D28"/>
      <c r="E28"/>
      <c r="F28"/>
      <c r="G28"/>
      <c r="H28"/>
      <c r="I28" s="4"/>
    </row>
    <row r="29" spans="1:9" x14ac:dyDescent="0.4">
      <c r="B29" s="1">
        <f>B4*1/(C4+2)^2*SIN(PI()*2/(C4+2))</f>
        <v>4.5915492538141554E-2</v>
      </c>
      <c r="C29" s="3"/>
      <c r="D29"/>
      <c r="E29"/>
      <c r="F29"/>
      <c r="G29"/>
      <c r="H29"/>
      <c r="I29" s="4"/>
    </row>
    <row r="30" spans="1:9" x14ac:dyDescent="0.4">
      <c r="B30" s="1">
        <f>B5*1/(C5+2)^2*SIN(PI()*2/(C5+2))</f>
        <v>2.3290910740163994E-2</v>
      </c>
      <c r="C30" s="3"/>
      <c r="D30"/>
      <c r="E30"/>
      <c r="F30"/>
      <c r="G30"/>
      <c r="H30"/>
      <c r="I30" s="4"/>
    </row>
    <row r="31" spans="1:9" x14ac:dyDescent="0.4">
      <c r="B31" s="1">
        <f>SUM(B26:B30)</f>
        <v>-0.23762265237365598</v>
      </c>
      <c r="C31" s="3"/>
      <c r="D31"/>
      <c r="E31"/>
      <c r="F31"/>
      <c r="G31"/>
      <c r="H31"/>
      <c r="I31" s="4"/>
    </row>
    <row r="32" spans="1:9" x14ac:dyDescent="0.4">
      <c r="C32" s="3"/>
      <c r="D32"/>
      <c r="E32"/>
      <c r="F32"/>
      <c r="G32"/>
      <c r="H32"/>
      <c r="I32" s="4"/>
    </row>
    <row r="33" spans="1:33" x14ac:dyDescent="0.4">
      <c r="C33" s="3"/>
      <c r="D33"/>
      <c r="E33"/>
      <c r="F33"/>
      <c r="G33"/>
      <c r="H33"/>
      <c r="I33" s="4"/>
    </row>
    <row r="34" spans="1:33" x14ac:dyDescent="0.4">
      <c r="B34" s="1">
        <f>1/B9^2*SIN(2*PI()/B9)</f>
        <v>-2.45029690981724E-16</v>
      </c>
      <c r="C34" s="3">
        <f>1/C9^2*SIN(2*PI()/C9)</f>
        <v>9.6225044864937631E-2</v>
      </c>
      <c r="D34"/>
      <c r="E34"/>
      <c r="F34"/>
      <c r="G34"/>
      <c r="H34"/>
      <c r="I34" s="4"/>
    </row>
    <row r="35" spans="1:33" x14ac:dyDescent="0.4">
      <c r="B35" s="1">
        <f>1/B10^2*SIN(2*PI()/B10)</f>
        <v>3.06287113727155E-17</v>
      </c>
      <c r="C35" s="3"/>
      <c r="D35"/>
      <c r="E35"/>
      <c r="F35"/>
      <c r="G35"/>
      <c r="H35"/>
      <c r="I35" s="4"/>
    </row>
    <row r="36" spans="1:33" x14ac:dyDescent="0.4">
      <c r="B36" s="1">
        <f>1/B11^2*SIN(2*PI()/B11)</f>
        <v>-0.38490017945975036</v>
      </c>
      <c r="C36" s="1">
        <f>1/C11^2*SIN(2*PI()/C11)</f>
        <v>9.4045640366795719E-2</v>
      </c>
      <c r="D36"/>
      <c r="E36"/>
      <c r="F36"/>
      <c r="G36"/>
      <c r="H36"/>
      <c r="I36" s="4"/>
    </row>
    <row r="37" spans="1:33" x14ac:dyDescent="0.4">
      <c r="B37" s="1">
        <f>1/B12^2*SIN(2*PI()/B12)</f>
        <v>-0.60867617042889832</v>
      </c>
      <c r="C37" s="1">
        <f>1/C12^2*SIN(2*PI()/C12)</f>
        <v>-0.14167632297716179</v>
      </c>
      <c r="D37" s="1">
        <f>1/D12^2*SIN(2*PI()/D12)</f>
        <v>6.7559534484082737E-2</v>
      </c>
      <c r="E37" s="1">
        <f>1/E12^2*SIN(2*PI()/E12)</f>
        <v>9.9933828013786224E-2</v>
      </c>
      <c r="I37" s="5"/>
    </row>
    <row r="38" spans="1:33" x14ac:dyDescent="0.4">
      <c r="B38" s="1">
        <f>1/B13^2*SIN(2*PI()/B13)</f>
        <v>-0.50788156814738927</v>
      </c>
      <c r="C38" s="1">
        <f>1/C13^2*SIN(2*PI()/C13)</f>
        <v>-0.52354191967255947</v>
      </c>
      <c r="D38" s="1">
        <f>1/D13^2*SIN(2*PI()/D13)</f>
        <v>-0.2511233735349756</v>
      </c>
      <c r="E38" s="1">
        <f>1/E13^2*SIN(2*PI()/E13)</f>
        <v>-5.9139325388162578E-2</v>
      </c>
      <c r="F38" s="1">
        <f>1/F13^2*SIN(2*PI()/F13)</f>
        <v>4.0691934741385827E-2</v>
      </c>
      <c r="G38" s="1">
        <f>1/G13^2*SIN(2*PI()/G13)</f>
        <v>8.4378485192168187E-2</v>
      </c>
      <c r="H38" s="1">
        <f>1/H13^2*SIN(2*PI()/H13)</f>
        <v>9.8709875776278544E-2</v>
      </c>
      <c r="I38" s="1">
        <f>1/I13^2*SIN(2*PI()/I13)</f>
        <v>9.8839457755516627E-2</v>
      </c>
      <c r="J38" s="1"/>
      <c r="L38" s="1"/>
      <c r="M38" s="1"/>
      <c r="N38" s="1"/>
      <c r="O38" s="1"/>
      <c r="P38" s="1"/>
      <c r="Q38" s="1"/>
    </row>
    <row r="39" spans="1:33" x14ac:dyDescent="0.4">
      <c r="B39" s="1">
        <f>1/B14^2*SIN(2*PI()/B14)</f>
        <v>-0.31999261779900062</v>
      </c>
      <c r="C39" s="1">
        <f t="shared" ref="C39:Q39" si="6">1/C14^2*SIN(2*PI()/C14)</f>
        <v>-0.59366930314461874</v>
      </c>
      <c r="D39" s="1">
        <f t="shared" si="6"/>
        <v>-0.578875673647125</v>
      </c>
      <c r="E39" s="1">
        <f t="shared" si="6"/>
        <v>-0.45599016268888098</v>
      </c>
      <c r="F39" s="1">
        <f t="shared" si="6"/>
        <v>-0.31560222424096335</v>
      </c>
      <c r="G39" s="1">
        <f t="shared" si="6"/>
        <v>-0.19296885924022816</v>
      </c>
      <c r="H39" s="1">
        <f t="shared" si="6"/>
        <v>-9.7195233905839312E-2</v>
      </c>
      <c r="I39" s="1">
        <f t="shared" si="6"/>
        <v>-2.6950146127765459E-2</v>
      </c>
      <c r="J39" s="1">
        <f t="shared" si="6"/>
        <v>2.2345589610533349E-2</v>
      </c>
      <c r="K39" s="1">
        <f t="shared" si="6"/>
        <v>5.5596271400056213E-2</v>
      </c>
      <c r="L39" s="1">
        <f t="shared" si="6"/>
        <v>7.7024630789234605E-2</v>
      </c>
      <c r="M39" s="1">
        <f t="shared" si="6"/>
        <v>8.9956115377197318E-2</v>
      </c>
      <c r="N39" s="1">
        <f t="shared" si="6"/>
        <v>9.6893554572040033E-2</v>
      </c>
      <c r="O39" s="1">
        <f t="shared" si="6"/>
        <v>9.9672952559246589E-2</v>
      </c>
      <c r="P39" s="1">
        <f t="shared" si="6"/>
        <v>9.9620124900405352E-2</v>
      </c>
      <c r="Q39" s="1">
        <f t="shared" si="6"/>
        <v>9.7682399946899076E-2</v>
      </c>
      <c r="R39" s="1"/>
      <c r="S39" s="1"/>
    </row>
    <row r="40" spans="1:33" x14ac:dyDescent="0.4">
      <c r="B40" s="1">
        <f>1/B15^2*SIN(2*PI()/B15)</f>
        <v>-0.17795525640501422</v>
      </c>
      <c r="C40" s="1">
        <f t="shared" ref="C40:AG40" si="7">1/C15^2*SIN(2*PI()/C15)</f>
        <v>-0.42874192658256988</v>
      </c>
      <c r="D40" s="1">
        <f t="shared" si="7"/>
        <v>-0.56149630429422204</v>
      </c>
      <c r="E40" s="1">
        <f t="shared" si="7"/>
        <v>-0.6082401348067269</v>
      </c>
      <c r="F40" s="1">
        <f t="shared" si="7"/>
        <v>-0.59801863157452673</v>
      </c>
      <c r="G40" s="1">
        <f t="shared" si="7"/>
        <v>-0.55344339466258796</v>
      </c>
      <c r="H40" s="1">
        <f t="shared" si="7"/>
        <v>-0.49065818454647919</v>
      </c>
      <c r="I40" s="1">
        <f t="shared" si="7"/>
        <v>-0.42048940500858528</v>
      </c>
      <c r="J40" s="1">
        <f t="shared" si="7"/>
        <v>-0.34979441428874747</v>
      </c>
      <c r="K40" s="1">
        <f t="shared" si="7"/>
        <v>-0.28263814272125659</v>
      </c>
      <c r="L40" s="1">
        <f t="shared" si="7"/>
        <v>-0.22120446753942319</v>
      </c>
      <c r="M40" s="1">
        <f t="shared" si="7"/>
        <v>-0.16645769085523901</v>
      </c>
      <c r="N40" s="1">
        <f t="shared" si="7"/>
        <v>-0.11860289223594442</v>
      </c>
      <c r="O40" s="1">
        <f t="shared" si="7"/>
        <v>-7.7396445207980918E-2</v>
      </c>
      <c r="P40" s="1">
        <f t="shared" si="7"/>
        <v>-4.2349892648470555E-2</v>
      </c>
      <c r="Q40" s="1">
        <f t="shared" si="7"/>
        <v>-1.2860213382855624E-2</v>
      </c>
      <c r="R40" s="1">
        <f t="shared" si="7"/>
        <v>1.1709562280264969E-2</v>
      </c>
      <c r="S40" s="1">
        <f t="shared" si="7"/>
        <v>3.19825772369461E-2</v>
      </c>
      <c r="T40" s="1">
        <f t="shared" si="7"/>
        <v>4.8541682088830043E-2</v>
      </c>
      <c r="U40" s="1">
        <f t="shared" si="7"/>
        <v>6.1916506085041373E-2</v>
      </c>
      <c r="V40" s="1">
        <f t="shared" si="7"/>
        <v>7.2578899675147315E-2</v>
      </c>
      <c r="W40" s="1">
        <f t="shared" si="7"/>
        <v>8.0943364175176197E-2</v>
      </c>
      <c r="X40" s="1">
        <f t="shared" si="7"/>
        <v>8.7370283383035194E-2</v>
      </c>
      <c r="Y40" s="1">
        <f t="shared" si="7"/>
        <v>9.2170571158543393E-2</v>
      </c>
      <c r="Z40" s="1">
        <f t="shared" si="7"/>
        <v>9.561087612830968E-2</v>
      </c>
      <c r="AA40" s="1">
        <f t="shared" si="7"/>
        <v>9.7918828710151937E-2</v>
      </c>
      <c r="AB40" s="1">
        <f t="shared" si="7"/>
        <v>9.9288037438827692E-2</v>
      </c>
      <c r="AC40" s="1">
        <f t="shared" si="7"/>
        <v>9.9882682359814873E-2</v>
      </c>
      <c r="AD40" s="1">
        <f t="shared" si="7"/>
        <v>9.9841640781842475E-2</v>
      </c>
      <c r="AE40" s="1">
        <f t="shared" si="7"/>
        <v>9.9282133485498816E-2</v>
      </c>
      <c r="AF40" s="1">
        <f t="shared" si="7"/>
        <v>9.8302909901430618E-2</v>
      </c>
      <c r="AG40" s="1">
        <f t="shared" si="7"/>
        <v>9.6987006945993548E-2</v>
      </c>
    </row>
    <row r="45" spans="1:33" x14ac:dyDescent="0.4">
      <c r="B45" s="6">
        <v>1</v>
      </c>
      <c r="C45" s="6">
        <v>2</v>
      </c>
      <c r="D45" s="6">
        <v>3</v>
      </c>
      <c r="E45" s="6">
        <v>4</v>
      </c>
      <c r="F45" s="6">
        <v>5</v>
      </c>
      <c r="G45" s="6">
        <v>6</v>
      </c>
      <c r="H45" s="6">
        <v>7</v>
      </c>
      <c r="L45" s="6">
        <v>1</v>
      </c>
      <c r="M45" s="6">
        <v>2</v>
      </c>
      <c r="N45" s="6">
        <v>3</v>
      </c>
      <c r="O45" s="6">
        <v>4</v>
      </c>
      <c r="P45" s="6">
        <v>5</v>
      </c>
      <c r="Q45" s="6">
        <v>6</v>
      </c>
      <c r="R45" s="6">
        <v>7</v>
      </c>
    </row>
    <row r="46" spans="1:33" x14ac:dyDescent="0.4">
      <c r="A46">
        <v>0</v>
      </c>
      <c r="B46" s="1">
        <f>B34+C34</f>
        <v>9.6225044864937381E-2</v>
      </c>
      <c r="L46" s="1" t="str">
        <f>IF(ABS(-0.23873241-B46)&lt;0.0000001,"满足","不满足")</f>
        <v>不满足</v>
      </c>
      <c r="N46" s="1"/>
      <c r="O46" s="3"/>
      <c r="R46"/>
    </row>
    <row r="47" spans="1:33" x14ac:dyDescent="0.4">
      <c r="A47">
        <v>1</v>
      </c>
      <c r="B47" s="1">
        <f>1/2*(B46+2*B35)</f>
        <v>4.8112522432468718E-2</v>
      </c>
      <c r="C47" s="1">
        <f>(4*B47-B46)/(4-1)</f>
        <v>3.2075014954979164E-2</v>
      </c>
      <c r="L47" s="1" t="str">
        <f>IF(ABS(-0.23873241-B47)&lt;0.0000001,"满足","不满足")</f>
        <v>不满足</v>
      </c>
      <c r="M47" s="1" t="str">
        <f>IF(ABS(-0.23873241-C47)&lt;0.0000001,"满足","不满足")</f>
        <v>不满足</v>
      </c>
      <c r="N47" s="1"/>
      <c r="O47" s="3"/>
      <c r="R47"/>
    </row>
    <row r="48" spans="1:33" x14ac:dyDescent="0.4">
      <c r="A48">
        <v>2</v>
      </c>
      <c r="B48" s="1">
        <f>1/2*(B47+1*SUM(B36:C36))</f>
        <v>-0.12137100833024297</v>
      </c>
      <c r="C48" s="1">
        <f t="shared" ref="C48:C52" si="8">(4*B48-B47)/(4-1)</f>
        <v>-0.17786551858448019</v>
      </c>
      <c r="D48" s="1">
        <f>(16*C48-C47)/(16-1)</f>
        <v>-0.19186155415377748</v>
      </c>
      <c r="L48" s="1" t="str">
        <f>IF(ABS(-0.23873241-B48)&lt;0.0000001,"满足","不满足")</f>
        <v>不满足</v>
      </c>
      <c r="M48" s="1" t="str">
        <f>IF(ABS(-0.23873241-C48)&lt;0.0000001,"满足","不满足")</f>
        <v>不满足</v>
      </c>
      <c r="N48" s="1" t="str">
        <f>IF(ABS(-0.23873241-D48)&lt;0.0000001,"满足","不满足")</f>
        <v>不满足</v>
      </c>
      <c r="O48" s="3"/>
      <c r="R48"/>
    </row>
    <row r="49" spans="1:18" x14ac:dyDescent="0.4">
      <c r="A49">
        <v>3</v>
      </c>
      <c r="B49" s="1">
        <f>1/2*(B48+A12*SUM(B37:I37))</f>
        <v>-0.20640028689216927</v>
      </c>
      <c r="C49" s="1">
        <f t="shared" si="8"/>
        <v>-0.2347433797461447</v>
      </c>
      <c r="D49" s="1">
        <f t="shared" ref="D49:D52" si="9">(16*C49-C48)/(16-1)</f>
        <v>-0.23853523715692232</v>
      </c>
      <c r="E49" s="1">
        <f>(64*D49-D48)/(64-1)</f>
        <v>-0.23927608926808333</v>
      </c>
      <c r="L49" s="1" t="str">
        <f>IF(ABS(-0.23873241-B49)&lt;0.0000001,"满足","不满足")</f>
        <v>不满足</v>
      </c>
      <c r="M49" s="1" t="str">
        <f>IF(ABS(-0.23873241-C49)&lt;0.0000001,"满足","不满足")</f>
        <v>不满足</v>
      </c>
      <c r="N49" s="1" t="str">
        <f>IF(ABS(-0.23873241-D49)&lt;0.0000001,"满足","不满足")</f>
        <v>不满足</v>
      </c>
      <c r="O49" s="1" t="str">
        <f>IF(ABS(-0.23873241-E49)&lt;0.0000001,"满足","不满足")</f>
        <v>不满足</v>
      </c>
      <c r="R49"/>
    </row>
    <row r="50" spans="1:18" x14ac:dyDescent="0.4">
      <c r="A50">
        <v>4</v>
      </c>
      <c r="B50" s="1">
        <f>1/2*(B49+A13*SUM(B38:I38))</f>
        <v>-0.23058344760580182</v>
      </c>
      <c r="C50" s="1">
        <f t="shared" si="8"/>
        <v>-0.23864450117701266</v>
      </c>
      <c r="D50" s="1">
        <f t="shared" si="9"/>
        <v>-0.23890457593907052</v>
      </c>
      <c r="E50" s="1">
        <f>(64*D50-D49)/(64-1)</f>
        <v>-0.23891043845942209</v>
      </c>
      <c r="F50" s="1">
        <f>(256*E50-E49)/(256-1)</f>
        <v>-0.23890900453468225</v>
      </c>
      <c r="L50" s="1" t="str">
        <f>IF(ABS(-0.23873241-B50)&lt;0.0000001,"满足","不满足")</f>
        <v>不满足</v>
      </c>
      <c r="M50" s="1" t="str">
        <f>IF(ABS(-0.23873241-C50)&lt;0.0000001,"满足","不满足")</f>
        <v>不满足</v>
      </c>
      <c r="N50" s="1" t="str">
        <f>IF(ABS(-0.23873241-D50)&lt;0.0000001,"满足","不满足")</f>
        <v>不满足</v>
      </c>
      <c r="O50" s="1" t="str">
        <f>IF(ABS(-0.23873241-E50)&lt;0.0000001,"满足","不满足")</f>
        <v>不满足</v>
      </c>
      <c r="P50" s="1" t="str">
        <f>IF(ABS(-0.23873241-F50)&lt;0.0000001,"满足","不满足")</f>
        <v>不满足</v>
      </c>
      <c r="R50"/>
    </row>
    <row r="51" spans="1:18" x14ac:dyDescent="0.4">
      <c r="A51">
        <v>5</v>
      </c>
      <c r="B51" s="1">
        <f>1/2*(B50+A14*SUM(B39:Q39))</f>
        <v>-0.23669501015532651</v>
      </c>
      <c r="C51" s="1">
        <f t="shared" si="8"/>
        <v>-0.23873219767183473</v>
      </c>
      <c r="D51" s="1">
        <f t="shared" si="9"/>
        <v>-0.23873804410482288</v>
      </c>
      <c r="E51" s="1">
        <f>(64*D51-D50)/(64-1)</f>
        <v>-0.23873540074237451</v>
      </c>
      <c r="F51" s="1">
        <f>(256*E51-E50)/(256-1)</f>
        <v>-0.23873471431995472</v>
      </c>
      <c r="G51" s="1">
        <f>(256*4*F51-F50)/(256*4-1)</f>
        <v>-0.2387345439482883</v>
      </c>
      <c r="L51" s="1" t="str">
        <f>IF(ABS(-0.23873241-B51)&lt;0.0000001,"满足","不满足")</f>
        <v>不满足</v>
      </c>
      <c r="M51" s="1" t="str">
        <f>IF(ABS(-0.23873241-C51)&lt;0.0000001,"满足","不满足")</f>
        <v>不满足</v>
      </c>
      <c r="N51" s="1" t="str">
        <f>IF(ABS(-0.23873241-D51)&lt;0.0000001,"满足","不满足")</f>
        <v>不满足</v>
      </c>
      <c r="O51" s="1" t="str">
        <f>IF(ABS(-0.23873241-E51)&lt;0.0000001,"满足","不满足")</f>
        <v>不满足</v>
      </c>
      <c r="P51" s="1" t="str">
        <f>IF(ABS(-0.23873241-F51)&lt;0.0000001,"满足","不满足")</f>
        <v>不满足</v>
      </c>
      <c r="Q51" s="1" t="str">
        <f>IF(ABS(-0.23873241-G51)&lt;0.0000001,"满足","不满足")</f>
        <v>不满足</v>
      </c>
      <c r="R51" s="1"/>
    </row>
    <row r="52" spans="1:18" x14ac:dyDescent="0.4">
      <c r="A52">
        <v>6</v>
      </c>
      <c r="B52" s="1">
        <f>1/2*(B51+A15*SUM(B40:AG40))</f>
        <v>-0.23822312491909375</v>
      </c>
      <c r="C52" s="1">
        <f t="shared" si="8"/>
        <v>-0.2387324965070162</v>
      </c>
      <c r="D52" s="1">
        <f t="shared" si="9"/>
        <v>-0.23873251642936164</v>
      </c>
      <c r="E52" s="1">
        <f>(64*D52-D51)/(64-1)</f>
        <v>-0.2387324286884813</v>
      </c>
      <c r="F52" s="1">
        <f>(256*E52-E51)/(256-1)</f>
        <v>-0.23873241703336801</v>
      </c>
      <c r="G52" s="1">
        <f>(256*4*F52-F51)/(256*4-1)</f>
        <v>-0.23873241478773108</v>
      </c>
      <c r="H52" s="1">
        <f>(256*16*G52-G51)/(256*16-1)</f>
        <v>-0.23873241426778954</v>
      </c>
      <c r="L52" s="1" t="str">
        <f>IF(ABS(-0.23873241-B52)&lt;0.0000001,"满足","不满足")</f>
        <v>不满足</v>
      </c>
      <c r="M52" s="1" t="str">
        <f>IF(ABS(-0.23873241-C52)&lt;0.0000001,"满足","不满足")</f>
        <v>满足</v>
      </c>
      <c r="N52" s="1" t="str">
        <f>IF(ABS(-0.23873241-D52)&lt;0.0000001,"满足","不满足")</f>
        <v>不满足</v>
      </c>
      <c r="O52" s="1" t="str">
        <f>IF(ABS(-0.23873241-E52)&lt;0.0000001,"满足","不满足")</f>
        <v>满足</v>
      </c>
      <c r="P52" s="1" t="str">
        <f>IF(ABS(-0.23873241-F52)&lt;0.0000001,"满足","不满足")</f>
        <v>满足</v>
      </c>
      <c r="Q52" s="1" t="str">
        <f>IF(ABS(-0.23873241-G52)&lt;0.0000001,"满足","不满足")</f>
        <v>满足</v>
      </c>
      <c r="R52" s="1" t="str">
        <f>IF(ABS(-0.23873241-H52)&lt;0.0000001,"满足","不满足")</f>
        <v>满足</v>
      </c>
    </row>
    <row r="53" spans="1:18" x14ac:dyDescent="0.4">
      <c r="A53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yu2022</dc:creator>
  <cp:lastModifiedBy>然 郁</cp:lastModifiedBy>
  <dcterms:created xsi:type="dcterms:W3CDTF">2015-06-05T18:19:34Z</dcterms:created>
  <dcterms:modified xsi:type="dcterms:W3CDTF">2024-01-16T09:46:45Z</dcterms:modified>
</cp:coreProperties>
</file>