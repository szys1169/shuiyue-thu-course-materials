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360" yWindow="60" windowWidth="14960" windowHeight="1288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47" i="1" l="1"/>
  <c r="O247" i="1"/>
  <c r="P247" i="1"/>
  <c r="R374" i="1"/>
  <c r="C383" i="1"/>
  <c r="B14" i="1"/>
  <c r="C372" i="1"/>
  <c r="C373" i="1"/>
  <c r="C374" i="1"/>
  <c r="B417" i="1"/>
  <c r="D417" i="1"/>
  <c r="H417" i="1"/>
  <c r="I417" i="1"/>
  <c r="B418" i="1"/>
  <c r="D418" i="1"/>
  <c r="B419" i="1"/>
  <c r="B420" i="1"/>
  <c r="B421" i="1"/>
  <c r="F402" i="1"/>
  <c r="H418" i="1"/>
  <c r="I418" i="1"/>
  <c r="H419" i="1"/>
  <c r="H420" i="1"/>
  <c r="D420" i="1"/>
  <c r="I420" i="1"/>
  <c r="H421" i="1"/>
  <c r="D421" i="1"/>
  <c r="I421" i="1"/>
  <c r="E452" i="1"/>
  <c r="D422" i="1"/>
  <c r="G423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C452" i="1"/>
  <c r="G410" i="1"/>
  <c r="F31" i="1"/>
  <c r="F32" i="1"/>
  <c r="F33" i="1"/>
  <c r="F34" i="1"/>
  <c r="F30" i="1"/>
  <c r="C20" i="1"/>
  <c r="E20" i="1"/>
  <c r="C21" i="1"/>
  <c r="E21" i="1"/>
  <c r="E22" i="1"/>
  <c r="E23" i="1"/>
  <c r="B24" i="1"/>
  <c r="B53" i="1"/>
  <c r="E24" i="1"/>
  <c r="E19" i="1"/>
  <c r="C53" i="1"/>
  <c r="D53" i="1"/>
  <c r="M54" i="1"/>
  <c r="M55" i="1"/>
  <c r="G96" i="1"/>
  <c r="M56" i="1"/>
  <c r="M57" i="1"/>
  <c r="G98" i="1"/>
  <c r="M58" i="1"/>
  <c r="G99" i="1"/>
  <c r="M59" i="1"/>
  <c r="G100" i="1"/>
  <c r="M60" i="1"/>
  <c r="G101" i="1"/>
  <c r="M61" i="1"/>
  <c r="G102" i="1"/>
  <c r="M62" i="1"/>
  <c r="M63" i="1"/>
  <c r="G104" i="1"/>
  <c r="M64" i="1"/>
  <c r="G105" i="1"/>
  <c r="M65" i="1"/>
  <c r="N65" i="1"/>
  <c r="G106" i="1"/>
  <c r="M66" i="1"/>
  <c r="G107" i="1"/>
  <c r="M67" i="1"/>
  <c r="N67" i="1"/>
  <c r="I349" i="1"/>
  <c r="G108" i="1"/>
  <c r="D108" i="1"/>
  <c r="E108" i="1"/>
  <c r="H108" i="1"/>
  <c r="J108" i="1"/>
  <c r="M68" i="1"/>
  <c r="G109" i="1"/>
  <c r="M69" i="1"/>
  <c r="G110" i="1"/>
  <c r="M70" i="1"/>
  <c r="G111" i="1"/>
  <c r="M71" i="1"/>
  <c r="M72" i="1"/>
  <c r="G113" i="1"/>
  <c r="M73" i="1"/>
  <c r="G114" i="1"/>
  <c r="M74" i="1"/>
  <c r="G115" i="1"/>
  <c r="M75" i="1"/>
  <c r="G116" i="1"/>
  <c r="M76" i="1"/>
  <c r="G117" i="1"/>
  <c r="M77" i="1"/>
  <c r="M78" i="1"/>
  <c r="G119" i="1"/>
  <c r="M79" i="1"/>
  <c r="G120" i="1"/>
  <c r="M80" i="1"/>
  <c r="G121" i="1"/>
  <c r="M81" i="1"/>
  <c r="G122" i="1"/>
  <c r="M82" i="1"/>
  <c r="G123" i="1"/>
  <c r="M52" i="1"/>
  <c r="G93" i="1"/>
  <c r="D96" i="1"/>
  <c r="E96" i="1"/>
  <c r="H96" i="1"/>
  <c r="J96" i="1"/>
  <c r="K337" i="1"/>
  <c r="F96" i="1"/>
  <c r="D97" i="1"/>
  <c r="E97" i="1"/>
  <c r="D98" i="1"/>
  <c r="E98" i="1"/>
  <c r="H98" i="1"/>
  <c r="B169" i="1"/>
  <c r="L169" i="1"/>
  <c r="J209" i="1"/>
  <c r="K209" i="1"/>
  <c r="D99" i="1"/>
  <c r="E99" i="1"/>
  <c r="F99" i="1"/>
  <c r="H99" i="1"/>
  <c r="D100" i="1"/>
  <c r="E100" i="1"/>
  <c r="D101" i="1"/>
  <c r="E101" i="1"/>
  <c r="H101" i="1"/>
  <c r="D102" i="1"/>
  <c r="E102" i="1"/>
  <c r="H102" i="1"/>
  <c r="B173" i="1"/>
  <c r="L173" i="1"/>
  <c r="D103" i="1"/>
  <c r="E103" i="1"/>
  <c r="D104" i="1"/>
  <c r="E104" i="1"/>
  <c r="F104" i="1"/>
  <c r="D105" i="1"/>
  <c r="E105" i="1"/>
  <c r="D106" i="1"/>
  <c r="E106" i="1"/>
  <c r="D107" i="1"/>
  <c r="E107" i="1"/>
  <c r="F107" i="1"/>
  <c r="H107" i="1"/>
  <c r="D109" i="1"/>
  <c r="E109" i="1"/>
  <c r="F109" i="1"/>
  <c r="D110" i="1"/>
  <c r="E110" i="1"/>
  <c r="D111" i="1"/>
  <c r="E111" i="1"/>
  <c r="H111" i="1"/>
  <c r="D112" i="1"/>
  <c r="E112" i="1"/>
  <c r="D113" i="1"/>
  <c r="E113" i="1"/>
  <c r="H113" i="1"/>
  <c r="D114" i="1"/>
  <c r="E114" i="1"/>
  <c r="D115" i="1"/>
  <c r="E115" i="1"/>
  <c r="H115" i="1"/>
  <c r="D116" i="1"/>
  <c r="E116" i="1"/>
  <c r="D117" i="1"/>
  <c r="E117" i="1"/>
  <c r="H117" i="1"/>
  <c r="F117" i="1"/>
  <c r="D118" i="1"/>
  <c r="E118" i="1"/>
  <c r="D119" i="1"/>
  <c r="E119" i="1"/>
  <c r="F119" i="1"/>
  <c r="D120" i="1"/>
  <c r="E120" i="1"/>
  <c r="D121" i="1"/>
  <c r="E121" i="1"/>
  <c r="D122" i="1"/>
  <c r="E122" i="1"/>
  <c r="D123" i="1"/>
  <c r="E123" i="1"/>
  <c r="D95" i="1"/>
  <c r="E95" i="1"/>
  <c r="F120" i="1"/>
  <c r="F122" i="1"/>
  <c r="D94" i="1"/>
  <c r="E94" i="1"/>
  <c r="F95" i="1"/>
  <c r="F98" i="1"/>
  <c r="J339" i="1"/>
  <c r="F101" i="1"/>
  <c r="F103" i="1"/>
  <c r="F111" i="1"/>
  <c r="F115" i="1"/>
  <c r="D93" i="1"/>
  <c r="E93" i="1"/>
  <c r="H93" i="1"/>
  <c r="B164" i="1"/>
  <c r="L164" i="1"/>
  <c r="J204" i="1"/>
  <c r="K204" i="1"/>
  <c r="L204" i="1"/>
  <c r="N72" i="1"/>
  <c r="N73" i="1"/>
  <c r="N74" i="1"/>
  <c r="N76" i="1"/>
  <c r="N78" i="1"/>
  <c r="I360" i="1"/>
  <c r="N79" i="1"/>
  <c r="I361" i="1"/>
  <c r="N80" i="1"/>
  <c r="N81" i="1"/>
  <c r="I363" i="1"/>
  <c r="N82" i="1"/>
  <c r="I364" i="1"/>
  <c r="N55" i="1"/>
  <c r="H292" i="1"/>
  <c r="N57" i="1"/>
  <c r="I339" i="1"/>
  <c r="N58" i="1"/>
  <c r="N59" i="1"/>
  <c r="I341" i="1"/>
  <c r="N60" i="1"/>
  <c r="N61" i="1"/>
  <c r="N63" i="1"/>
  <c r="H300" i="1"/>
  <c r="N64" i="1"/>
  <c r="I347" i="1"/>
  <c r="N66" i="1"/>
  <c r="N68" i="1"/>
  <c r="N69" i="1"/>
  <c r="N70" i="1"/>
  <c r="N52" i="1"/>
  <c r="I334" i="1"/>
  <c r="F286" i="1"/>
  <c r="K286" i="1"/>
  <c r="F287" i="1"/>
  <c r="K287" i="1"/>
  <c r="L287" i="1"/>
  <c r="N287" i="1"/>
  <c r="F288" i="1"/>
  <c r="F289" i="1"/>
  <c r="F285" i="1"/>
  <c r="K285" i="1"/>
  <c r="L285" i="1"/>
  <c r="F331" i="1"/>
  <c r="L331" i="1"/>
  <c r="M331" i="1"/>
  <c r="O331" i="1"/>
  <c r="F332" i="1"/>
  <c r="F333" i="1"/>
  <c r="F334" i="1"/>
  <c r="F330" i="1"/>
  <c r="L330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34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34" i="1"/>
  <c r="K288" i="1"/>
  <c r="L288" i="1"/>
  <c r="N288" i="1"/>
  <c r="H289" i="1"/>
  <c r="H294" i="1"/>
  <c r="I294" i="1"/>
  <c r="H296" i="1"/>
  <c r="H302" i="1"/>
  <c r="H316" i="1"/>
  <c r="H318" i="1"/>
  <c r="J277" i="1"/>
  <c r="O277" i="1"/>
  <c r="J244" i="1"/>
  <c r="O244" i="1"/>
  <c r="P244" i="1"/>
  <c r="G244" i="1"/>
  <c r="J245" i="1"/>
  <c r="O245" i="1"/>
  <c r="J246" i="1"/>
  <c r="O246" i="1"/>
  <c r="P246" i="1"/>
  <c r="G246" i="1"/>
  <c r="J248" i="1"/>
  <c r="O248" i="1"/>
  <c r="P248" i="1"/>
  <c r="G248" i="1"/>
  <c r="D248" i="1"/>
  <c r="B248" i="1"/>
  <c r="J249" i="1"/>
  <c r="O249" i="1"/>
  <c r="P249" i="1"/>
  <c r="J250" i="1"/>
  <c r="O250" i="1"/>
  <c r="P250" i="1"/>
  <c r="J251" i="1"/>
  <c r="O251" i="1"/>
  <c r="P251" i="1"/>
  <c r="J252" i="1"/>
  <c r="O252" i="1"/>
  <c r="P252" i="1"/>
  <c r="G252" i="1"/>
  <c r="J253" i="1"/>
  <c r="O253" i="1"/>
  <c r="P253" i="1"/>
  <c r="G253" i="1"/>
  <c r="J254" i="1"/>
  <c r="O254" i="1"/>
  <c r="P254" i="1"/>
  <c r="J255" i="1"/>
  <c r="O255" i="1"/>
  <c r="P255" i="1"/>
  <c r="J256" i="1"/>
  <c r="O256" i="1"/>
  <c r="P256" i="1"/>
  <c r="G256" i="1"/>
  <c r="J257" i="1"/>
  <c r="O257" i="1"/>
  <c r="P257" i="1"/>
  <c r="J258" i="1"/>
  <c r="O258" i="1"/>
  <c r="P258" i="1"/>
  <c r="J259" i="1"/>
  <c r="O259" i="1"/>
  <c r="P259" i="1"/>
  <c r="G259" i="1"/>
  <c r="J260" i="1"/>
  <c r="O260" i="1"/>
  <c r="P260" i="1"/>
  <c r="G260" i="1"/>
  <c r="J261" i="1"/>
  <c r="O261" i="1"/>
  <c r="P261" i="1"/>
  <c r="J262" i="1"/>
  <c r="O262" i="1"/>
  <c r="P262" i="1"/>
  <c r="J263" i="1"/>
  <c r="O263" i="1"/>
  <c r="P263" i="1"/>
  <c r="J264" i="1"/>
  <c r="O264" i="1"/>
  <c r="P264" i="1"/>
  <c r="G264" i="1"/>
  <c r="J265" i="1"/>
  <c r="O265" i="1"/>
  <c r="P265" i="1"/>
  <c r="J266" i="1"/>
  <c r="O266" i="1"/>
  <c r="P266" i="1"/>
  <c r="G266" i="1"/>
  <c r="J267" i="1"/>
  <c r="O267" i="1"/>
  <c r="P267" i="1"/>
  <c r="J268" i="1"/>
  <c r="O268" i="1"/>
  <c r="P268" i="1"/>
  <c r="G268" i="1"/>
  <c r="J269" i="1"/>
  <c r="O269" i="1"/>
  <c r="P269" i="1"/>
  <c r="G269" i="1"/>
  <c r="J270" i="1"/>
  <c r="O270" i="1"/>
  <c r="P270" i="1"/>
  <c r="J271" i="1"/>
  <c r="O271" i="1"/>
  <c r="P271" i="1"/>
  <c r="J272" i="1"/>
  <c r="O272" i="1"/>
  <c r="P272" i="1"/>
  <c r="G272" i="1"/>
  <c r="B272" i="1"/>
  <c r="J273" i="1"/>
  <c r="O273" i="1"/>
  <c r="P273" i="1"/>
  <c r="J274" i="1"/>
  <c r="O274" i="1"/>
  <c r="P274" i="1"/>
  <c r="J275" i="1"/>
  <c r="O275" i="1"/>
  <c r="P275" i="1"/>
  <c r="G275" i="1"/>
  <c r="B275" i="1"/>
  <c r="J276" i="1"/>
  <c r="O276" i="1"/>
  <c r="P276" i="1"/>
  <c r="G276" i="1"/>
  <c r="B276" i="1"/>
  <c r="O243" i="1"/>
  <c r="P243" i="1"/>
  <c r="B179" i="1"/>
  <c r="L179" i="1"/>
  <c r="J219" i="1"/>
  <c r="K219" i="1"/>
  <c r="L136" i="1"/>
  <c r="M136" i="1"/>
  <c r="J205" i="1"/>
  <c r="J206" i="1"/>
  <c r="J207" i="1"/>
  <c r="J208" i="1"/>
  <c r="J210" i="1"/>
  <c r="J211" i="1"/>
  <c r="J212" i="1"/>
  <c r="J213" i="1"/>
  <c r="J214" i="1"/>
  <c r="J215" i="1"/>
  <c r="J216" i="1"/>
  <c r="J217" i="1"/>
  <c r="J218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M330" i="1"/>
  <c r="L332" i="1"/>
  <c r="M332" i="1"/>
  <c r="O332" i="1"/>
  <c r="L333" i="1"/>
  <c r="M333" i="1"/>
  <c r="O333" i="1"/>
  <c r="E365" i="1"/>
  <c r="D365" i="1"/>
  <c r="C365" i="1"/>
  <c r="B365" i="1"/>
  <c r="L286" i="1"/>
  <c r="N286" i="1"/>
  <c r="C320" i="1"/>
  <c r="D320" i="1"/>
  <c r="E320" i="1"/>
  <c r="F320" i="1"/>
  <c r="G320" i="1"/>
  <c r="B320" i="1"/>
  <c r="Q244" i="1"/>
  <c r="D249" i="1"/>
  <c r="D250" i="1"/>
  <c r="D251" i="1"/>
  <c r="J200" i="1"/>
  <c r="J201" i="1"/>
  <c r="J202" i="1"/>
  <c r="J203" i="1"/>
  <c r="J235" i="1"/>
  <c r="H235" i="1"/>
  <c r="C235" i="1"/>
  <c r="D235" i="1"/>
  <c r="E235" i="1"/>
  <c r="F235" i="1"/>
  <c r="G235" i="1"/>
  <c r="B235" i="1"/>
  <c r="O124" i="1"/>
  <c r="N124" i="1"/>
  <c r="C195" i="1"/>
  <c r="E195" i="1"/>
  <c r="H195" i="1"/>
  <c r="L161" i="1"/>
  <c r="L162" i="1"/>
  <c r="L163" i="1"/>
  <c r="L160" i="1"/>
  <c r="K155" i="1"/>
  <c r="L155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H155" i="1"/>
  <c r="I155" i="1"/>
  <c r="G155" i="1"/>
  <c r="F155" i="1"/>
  <c r="E155" i="1"/>
  <c r="D136" i="1"/>
  <c r="O133" i="1"/>
  <c r="D135" i="1"/>
  <c r="D134" i="1"/>
  <c r="E124" i="1"/>
  <c r="K93" i="1"/>
  <c r="K96" i="1"/>
  <c r="C124" i="1"/>
  <c r="D83" i="1"/>
  <c r="E83" i="1"/>
  <c r="F83" i="1"/>
  <c r="G83" i="1"/>
  <c r="J83" i="1"/>
  <c r="K83" i="1"/>
  <c r="L83" i="1"/>
  <c r="C83" i="1"/>
  <c r="B182" i="1"/>
  <c r="L182" i="1"/>
  <c r="K222" i="1"/>
  <c r="J111" i="1"/>
  <c r="L96" i="1"/>
  <c r="M96" i="1"/>
  <c r="N330" i="1"/>
  <c r="O330" i="1"/>
  <c r="F365" i="1"/>
  <c r="N285" i="1"/>
  <c r="H301" i="1"/>
  <c r="I346" i="1"/>
  <c r="H311" i="1"/>
  <c r="I356" i="1"/>
  <c r="J352" i="1"/>
  <c r="I307" i="1"/>
  <c r="J344" i="1"/>
  <c r="I299" i="1"/>
  <c r="F94" i="1"/>
  <c r="B186" i="1"/>
  <c r="L186" i="1"/>
  <c r="K226" i="1"/>
  <c r="J115" i="1"/>
  <c r="K115" i="1"/>
  <c r="J113" i="1"/>
  <c r="B184" i="1"/>
  <c r="L184" i="1"/>
  <c r="K224" i="1"/>
  <c r="J345" i="1"/>
  <c r="I300" i="1"/>
  <c r="B170" i="1"/>
  <c r="L170" i="1"/>
  <c r="K210" i="1"/>
  <c r="J99" i="1"/>
  <c r="K99" i="1"/>
  <c r="H307" i="1"/>
  <c r="I352" i="1"/>
  <c r="H309" i="1"/>
  <c r="I354" i="1"/>
  <c r="F424" i="1"/>
  <c r="F422" i="1"/>
  <c r="F423" i="1"/>
  <c r="H423" i="1"/>
  <c r="I423" i="1"/>
  <c r="G247" i="1"/>
  <c r="B247" i="1"/>
  <c r="Q247" i="1"/>
  <c r="C385" i="1"/>
  <c r="H365" i="1"/>
  <c r="J102" i="1"/>
  <c r="M53" i="1"/>
  <c r="C375" i="1"/>
  <c r="B83" i="1"/>
  <c r="D124" i="1"/>
  <c r="Q275" i="1"/>
  <c r="Q259" i="1"/>
  <c r="Q246" i="1"/>
  <c r="B167" i="1"/>
  <c r="L167" i="1"/>
  <c r="K207" i="1"/>
  <c r="J292" i="1"/>
  <c r="F113" i="1"/>
  <c r="F105" i="1"/>
  <c r="H122" i="1"/>
  <c r="H120" i="1"/>
  <c r="F116" i="1"/>
  <c r="H109" i="1"/>
  <c r="H106" i="1"/>
  <c r="H104" i="1"/>
  <c r="F100" i="1"/>
  <c r="J98" i="1"/>
  <c r="H305" i="1"/>
  <c r="I350" i="1"/>
  <c r="H297" i="1"/>
  <c r="I342" i="1"/>
  <c r="J356" i="1"/>
  <c r="I311" i="1"/>
  <c r="J348" i="1"/>
  <c r="I303" i="1"/>
  <c r="J340" i="1"/>
  <c r="I295" i="1"/>
  <c r="J336" i="1"/>
  <c r="I291" i="1"/>
  <c r="J361" i="1"/>
  <c r="I316" i="1"/>
  <c r="H121" i="1"/>
  <c r="F121" i="1"/>
  <c r="B178" i="1"/>
  <c r="L178" i="1"/>
  <c r="K218" i="1"/>
  <c r="J107" i="1"/>
  <c r="H303" i="1"/>
  <c r="I348" i="1"/>
  <c r="H295" i="1"/>
  <c r="I340" i="1"/>
  <c r="H313" i="1"/>
  <c r="I358" i="1"/>
  <c r="J358" i="1"/>
  <c r="I313" i="1"/>
  <c r="J350" i="1"/>
  <c r="I305" i="1"/>
  <c r="J342" i="1"/>
  <c r="I297" i="1"/>
  <c r="J363" i="1"/>
  <c r="I318" i="1"/>
  <c r="J117" i="1"/>
  <c r="B188" i="1"/>
  <c r="L188" i="1"/>
  <c r="K228" i="1"/>
  <c r="J101" i="1"/>
  <c r="B172" i="1"/>
  <c r="L172" i="1"/>
  <c r="K212" i="1"/>
  <c r="J337" i="1"/>
  <c r="I292" i="1"/>
  <c r="K292" i="1"/>
  <c r="L292" i="1"/>
  <c r="N292" i="1"/>
  <c r="Q269" i="1"/>
  <c r="Q253" i="1"/>
  <c r="M285" i="1"/>
  <c r="M286" i="1"/>
  <c r="M287" i="1"/>
  <c r="M288" i="1"/>
  <c r="H319" i="1"/>
  <c r="H315" i="1"/>
  <c r="F97" i="1"/>
  <c r="H114" i="1"/>
  <c r="F108" i="1"/>
  <c r="H100" i="1"/>
  <c r="B171" i="1"/>
  <c r="L171" i="1"/>
  <c r="K211" i="1"/>
  <c r="F114" i="1"/>
  <c r="F110" i="1"/>
  <c r="F106" i="1"/>
  <c r="F102" i="1"/>
  <c r="L99" i="1"/>
  <c r="M99" i="1"/>
  <c r="J362" i="1"/>
  <c r="I317" i="1"/>
  <c r="J104" i="1"/>
  <c r="B175" i="1"/>
  <c r="L175" i="1"/>
  <c r="K215" i="1"/>
  <c r="H422" i="1"/>
  <c r="F452" i="1"/>
  <c r="J100" i="1"/>
  <c r="J338" i="1"/>
  <c r="I293" i="1"/>
  <c r="K101" i="1"/>
  <c r="K342" i="1"/>
  <c r="L342" i="1"/>
  <c r="M342" i="1"/>
  <c r="O342" i="1"/>
  <c r="J297" i="1"/>
  <c r="J341" i="1"/>
  <c r="I296" i="1"/>
  <c r="J357" i="1"/>
  <c r="I312" i="1"/>
  <c r="J354" i="1"/>
  <c r="I309" i="1"/>
  <c r="K343" i="1"/>
  <c r="J298" i="1"/>
  <c r="N331" i="1"/>
  <c r="N332" i="1"/>
  <c r="N333" i="1"/>
  <c r="P330" i="1"/>
  <c r="P331" i="1"/>
  <c r="P332" i="1"/>
  <c r="P333" i="1"/>
  <c r="K352" i="1"/>
  <c r="J307" i="1"/>
  <c r="J355" i="1"/>
  <c r="I310" i="1"/>
  <c r="B185" i="1"/>
  <c r="L185" i="1"/>
  <c r="K225" i="1"/>
  <c r="J114" i="1"/>
  <c r="K348" i="1"/>
  <c r="J303" i="1"/>
  <c r="K339" i="1"/>
  <c r="L339" i="1"/>
  <c r="M339" i="1"/>
  <c r="O339" i="1"/>
  <c r="J294" i="1"/>
  <c r="K294" i="1"/>
  <c r="L294" i="1"/>
  <c r="N294" i="1"/>
  <c r="J109" i="1"/>
  <c r="B180" i="1"/>
  <c r="L180" i="1"/>
  <c r="K220" i="1"/>
  <c r="K109" i="1"/>
  <c r="J346" i="1"/>
  <c r="I301" i="1"/>
  <c r="G94" i="1"/>
  <c r="N53" i="1"/>
  <c r="M83" i="1"/>
  <c r="K356" i="1"/>
  <c r="J311" i="1"/>
  <c r="O285" i="1"/>
  <c r="O286" i="1"/>
  <c r="O287" i="1"/>
  <c r="O288" i="1"/>
  <c r="J351" i="1"/>
  <c r="I306" i="1"/>
  <c r="J349" i="1"/>
  <c r="I304" i="1"/>
  <c r="K117" i="1"/>
  <c r="K358" i="1"/>
  <c r="L358" i="1"/>
  <c r="M358" i="1"/>
  <c r="O358" i="1"/>
  <c r="J313" i="1"/>
  <c r="J121" i="1"/>
  <c r="B192" i="1"/>
  <c r="L192" i="1"/>
  <c r="K232" i="1"/>
  <c r="B177" i="1"/>
  <c r="L177" i="1"/>
  <c r="K217" i="1"/>
  <c r="J106" i="1"/>
  <c r="B193" i="1"/>
  <c r="L193" i="1"/>
  <c r="K233" i="1"/>
  <c r="J122" i="1"/>
  <c r="K122" i="1"/>
  <c r="J309" i="1"/>
  <c r="K113" i="1"/>
  <c r="K354" i="1"/>
  <c r="L354" i="1"/>
  <c r="M354" i="1"/>
  <c r="O354" i="1"/>
  <c r="J335" i="1"/>
  <c r="I290" i="1"/>
  <c r="D252" i="1"/>
  <c r="L352" i="1"/>
  <c r="M352" i="1"/>
  <c r="O352" i="1"/>
  <c r="K313" i="1"/>
  <c r="L313" i="1"/>
  <c r="N313" i="1"/>
  <c r="K303" i="1"/>
  <c r="L303" i="1"/>
  <c r="N303" i="1"/>
  <c r="K102" i="1"/>
  <c r="K309" i="1"/>
  <c r="L309" i="1"/>
  <c r="N309" i="1"/>
  <c r="K311" i="1"/>
  <c r="L311" i="1"/>
  <c r="N311" i="1"/>
  <c r="L348" i="1"/>
  <c r="M348" i="1"/>
  <c r="O348" i="1"/>
  <c r="K98" i="1"/>
  <c r="L356" i="1"/>
  <c r="M356" i="1"/>
  <c r="O356" i="1"/>
  <c r="K107" i="1"/>
  <c r="K111" i="1"/>
  <c r="K297" i="1"/>
  <c r="L297" i="1"/>
  <c r="N297" i="1"/>
  <c r="K307" i="1"/>
  <c r="L307" i="1"/>
  <c r="N307" i="1"/>
  <c r="J347" i="1"/>
  <c r="I302" i="1"/>
  <c r="J120" i="1"/>
  <c r="B191" i="1"/>
  <c r="L191" i="1"/>
  <c r="K231" i="1"/>
  <c r="K120" i="1"/>
  <c r="L115" i="1"/>
  <c r="M115" i="1"/>
  <c r="K340" i="1"/>
  <c r="L340" i="1"/>
  <c r="M340" i="1"/>
  <c r="O340" i="1"/>
  <c r="J295" i="1"/>
  <c r="K295" i="1"/>
  <c r="L295" i="1"/>
  <c r="N295" i="1"/>
  <c r="L102" i="1"/>
  <c r="M102" i="1"/>
  <c r="L122" i="1"/>
  <c r="M122" i="1"/>
  <c r="K347" i="1"/>
  <c r="L347" i="1"/>
  <c r="M347" i="1"/>
  <c r="O347" i="1"/>
  <c r="J302" i="1"/>
  <c r="J317" i="1"/>
  <c r="K362" i="1"/>
  <c r="I335" i="1"/>
  <c r="H290" i="1"/>
  <c r="L109" i="1"/>
  <c r="M109" i="1"/>
  <c r="K355" i="1"/>
  <c r="J310" i="1"/>
  <c r="K341" i="1"/>
  <c r="L341" i="1"/>
  <c r="M341" i="1"/>
  <c r="O341" i="1"/>
  <c r="J296" i="1"/>
  <c r="L107" i="1"/>
  <c r="M107" i="1"/>
  <c r="L98" i="1"/>
  <c r="M98" i="1"/>
  <c r="D253" i="1"/>
  <c r="D254" i="1"/>
  <c r="B252" i="1"/>
  <c r="L101" i="1"/>
  <c r="M101" i="1"/>
  <c r="K345" i="1"/>
  <c r="J300" i="1"/>
  <c r="K300" i="1"/>
  <c r="L300" i="1"/>
  <c r="N300" i="1"/>
  <c r="L111" i="1"/>
  <c r="M111" i="1"/>
  <c r="K350" i="1"/>
  <c r="L350" i="1"/>
  <c r="M350" i="1"/>
  <c r="O350" i="1"/>
  <c r="J305" i="1"/>
  <c r="K305" i="1"/>
  <c r="L305" i="1"/>
  <c r="N305" i="1"/>
  <c r="I422" i="1"/>
  <c r="K361" i="1"/>
  <c r="L361" i="1"/>
  <c r="M361" i="1"/>
  <c r="O361" i="1"/>
  <c r="J316" i="1"/>
  <c r="K316" i="1"/>
  <c r="L316" i="1"/>
  <c r="N316" i="1"/>
  <c r="L113" i="1"/>
  <c r="M113" i="1"/>
  <c r="J318" i="1"/>
  <c r="K318" i="1"/>
  <c r="L318" i="1"/>
  <c r="N318" i="1"/>
  <c r="K363" i="1"/>
  <c r="L363" i="1"/>
  <c r="M363" i="1"/>
  <c r="O363" i="1"/>
  <c r="L117" i="1"/>
  <c r="M117" i="1"/>
  <c r="H94" i="1"/>
  <c r="K106" i="1"/>
  <c r="L106" i="1"/>
  <c r="K114" i="1"/>
  <c r="K296" i="1"/>
  <c r="L296" i="1"/>
  <c r="N296" i="1"/>
  <c r="K302" i="1"/>
  <c r="L302" i="1"/>
  <c r="N302" i="1"/>
  <c r="K121" i="1"/>
  <c r="K100" i="1"/>
  <c r="L100" i="1"/>
  <c r="M100" i="1"/>
  <c r="K104" i="1"/>
  <c r="L104" i="1"/>
  <c r="M104" i="1"/>
  <c r="L121" i="1"/>
  <c r="M121" i="1"/>
  <c r="M106" i="1"/>
  <c r="L335" i="1"/>
  <c r="L114" i="1"/>
  <c r="B165" i="1"/>
  <c r="K94" i="1"/>
  <c r="K290" i="1"/>
  <c r="L94" i="1"/>
  <c r="M335" i="1"/>
  <c r="O335" i="1"/>
  <c r="L290" i="1"/>
  <c r="N290" i="1"/>
  <c r="L165" i="1"/>
  <c r="K205" i="1"/>
  <c r="D255" i="1"/>
  <c r="D256" i="1"/>
  <c r="M94" i="1"/>
  <c r="D257" i="1"/>
  <c r="B256" i="1"/>
  <c r="D258" i="1"/>
  <c r="D259" i="1"/>
  <c r="D260" i="1"/>
  <c r="B259" i="1"/>
  <c r="L205" i="1"/>
  <c r="L120" i="1"/>
  <c r="M120" i="1"/>
  <c r="M114" i="1"/>
  <c r="K349" i="1"/>
  <c r="L349" i="1"/>
  <c r="M349" i="1"/>
  <c r="O349" i="1"/>
  <c r="B253" i="1"/>
  <c r="M155" i="1"/>
  <c r="G254" i="1"/>
  <c r="B254" i="1"/>
  <c r="Q254" i="1"/>
  <c r="J304" i="1"/>
  <c r="K108" i="1"/>
  <c r="G273" i="1"/>
  <c r="B273" i="1"/>
  <c r="Q273" i="1"/>
  <c r="Q271" i="1"/>
  <c r="G271" i="1"/>
  <c r="G267" i="1"/>
  <c r="Q267" i="1"/>
  <c r="Q265" i="1"/>
  <c r="G265" i="1"/>
  <c r="G263" i="1"/>
  <c r="Q263" i="1"/>
  <c r="G261" i="1"/>
  <c r="Q261" i="1"/>
  <c r="G257" i="1"/>
  <c r="B257" i="1"/>
  <c r="Q257" i="1"/>
  <c r="G250" i="1"/>
  <c r="B250" i="1"/>
  <c r="Q250" i="1"/>
  <c r="J343" i="1"/>
  <c r="I298" i="1"/>
  <c r="G255" i="1"/>
  <c r="B255" i="1"/>
  <c r="Q255" i="1"/>
  <c r="J360" i="1"/>
  <c r="I315" i="1"/>
  <c r="L93" i="1"/>
  <c r="M93" i="1"/>
  <c r="G243" i="1"/>
  <c r="Q243" i="1"/>
  <c r="Q274" i="1"/>
  <c r="G274" i="1"/>
  <c r="B274" i="1"/>
  <c r="G270" i="1"/>
  <c r="Q270" i="1"/>
  <c r="G262" i="1"/>
  <c r="Q262" i="1"/>
  <c r="G258" i="1"/>
  <c r="B258" i="1"/>
  <c r="Q258" i="1"/>
  <c r="G251" i="1"/>
  <c r="B251" i="1"/>
  <c r="Q251" i="1"/>
  <c r="G249" i="1"/>
  <c r="B249" i="1"/>
  <c r="Q249" i="1"/>
  <c r="I362" i="1"/>
  <c r="L362" i="1"/>
  <c r="M362" i="1"/>
  <c r="O362" i="1"/>
  <c r="H317" i="1"/>
  <c r="K317" i="1"/>
  <c r="L317" i="1"/>
  <c r="N317" i="1"/>
  <c r="F123" i="1"/>
  <c r="H123" i="1"/>
  <c r="F112" i="1"/>
  <c r="K213" i="1"/>
  <c r="G95" i="1"/>
  <c r="N54" i="1"/>
  <c r="G424" i="1"/>
  <c r="Q276" i="1"/>
  <c r="Q268" i="1"/>
  <c r="Q260" i="1"/>
  <c r="Q252" i="1"/>
  <c r="P245" i="1"/>
  <c r="P277" i="1"/>
  <c r="I343" i="1"/>
  <c r="L343" i="1"/>
  <c r="M343" i="1"/>
  <c r="O343" i="1"/>
  <c r="H298" i="1"/>
  <c r="K298" i="1"/>
  <c r="L298" i="1"/>
  <c r="N298" i="1"/>
  <c r="I355" i="1"/>
  <c r="L355" i="1"/>
  <c r="M355" i="1"/>
  <c r="O355" i="1"/>
  <c r="H310" i="1"/>
  <c r="K310" i="1"/>
  <c r="L310" i="1"/>
  <c r="N310" i="1"/>
  <c r="G118" i="1"/>
  <c r="H118" i="1"/>
  <c r="F118" i="1"/>
  <c r="G97" i="1"/>
  <c r="H97" i="1"/>
  <c r="N77" i="1"/>
  <c r="N56" i="1"/>
  <c r="B452" i="1"/>
  <c r="D419" i="1"/>
  <c r="Q266" i="1"/>
  <c r="G365" i="1"/>
  <c r="I351" i="1"/>
  <c r="H306" i="1"/>
  <c r="H110" i="1"/>
  <c r="H105" i="1"/>
  <c r="H119" i="1"/>
  <c r="G112" i="1"/>
  <c r="H112" i="1"/>
  <c r="N71" i="1"/>
  <c r="Q272" i="1"/>
  <c r="Q264" i="1"/>
  <c r="Q256" i="1"/>
  <c r="Q248" i="1"/>
  <c r="H304" i="1"/>
  <c r="I345" i="1"/>
  <c r="L345" i="1"/>
  <c r="M345" i="1"/>
  <c r="O345" i="1"/>
  <c r="I337" i="1"/>
  <c r="L337" i="1"/>
  <c r="M337" i="1"/>
  <c r="O337" i="1"/>
  <c r="N75" i="1"/>
  <c r="F93" i="1"/>
  <c r="H116" i="1"/>
  <c r="G103" i="1"/>
  <c r="H103" i="1"/>
  <c r="N62" i="1"/>
  <c r="B174" i="1"/>
  <c r="L174" i="1"/>
  <c r="K214" i="1"/>
  <c r="J103" i="1"/>
  <c r="J112" i="1"/>
  <c r="K112" i="1"/>
  <c r="B183" i="1"/>
  <c r="L183" i="1"/>
  <c r="K223" i="1"/>
  <c r="H299" i="1"/>
  <c r="I344" i="1"/>
  <c r="B181" i="1"/>
  <c r="L181" i="1"/>
  <c r="K221" i="1"/>
  <c r="J110" i="1"/>
  <c r="K110" i="1"/>
  <c r="I314" i="1"/>
  <c r="J359" i="1"/>
  <c r="J364" i="1"/>
  <c r="I319" i="1"/>
  <c r="I353" i="1"/>
  <c r="H308" i="1"/>
  <c r="I338" i="1"/>
  <c r="H293" i="1"/>
  <c r="G245" i="1"/>
  <c r="Q245" i="1"/>
  <c r="H95" i="1"/>
  <c r="G124" i="1"/>
  <c r="J119" i="1"/>
  <c r="B190" i="1"/>
  <c r="L190" i="1"/>
  <c r="K230" i="1"/>
  <c r="D452" i="1"/>
  <c r="I419" i="1"/>
  <c r="I359" i="1"/>
  <c r="H314" i="1"/>
  <c r="B189" i="1"/>
  <c r="L189" i="1"/>
  <c r="K229" i="1"/>
  <c r="J118" i="1"/>
  <c r="G425" i="1"/>
  <c r="H424" i="1"/>
  <c r="J353" i="1"/>
  <c r="I308" i="1"/>
  <c r="H312" i="1"/>
  <c r="I357" i="1"/>
  <c r="B168" i="1"/>
  <c r="L168" i="1"/>
  <c r="K208" i="1"/>
  <c r="J97" i="1"/>
  <c r="J123" i="1"/>
  <c r="K123" i="1"/>
  <c r="B194" i="1"/>
  <c r="L194" i="1"/>
  <c r="K234" i="1"/>
  <c r="B187" i="1"/>
  <c r="L187" i="1"/>
  <c r="K227" i="1"/>
  <c r="J116" i="1"/>
  <c r="I289" i="1"/>
  <c r="J334" i="1"/>
  <c r="L334" i="1"/>
  <c r="F124" i="1"/>
  <c r="K304" i="1"/>
  <c r="L304" i="1"/>
  <c r="N304" i="1"/>
  <c r="G277" i="1"/>
  <c r="B277" i="1"/>
  <c r="Q277" i="1"/>
  <c r="I336" i="1"/>
  <c r="N83" i="1"/>
  <c r="H291" i="1"/>
  <c r="D261" i="1"/>
  <c r="D262" i="1"/>
  <c r="B262" i="1"/>
  <c r="L108" i="1"/>
  <c r="M108" i="1"/>
  <c r="B176" i="1"/>
  <c r="L176" i="1"/>
  <c r="K216" i="1"/>
  <c r="J105" i="1"/>
  <c r="K105" i="1"/>
  <c r="B260" i="1"/>
  <c r="D263" i="1"/>
  <c r="D264" i="1"/>
  <c r="L105" i="1"/>
  <c r="M105" i="1"/>
  <c r="J312" i="1"/>
  <c r="K357" i="1"/>
  <c r="L357" i="1"/>
  <c r="M357" i="1"/>
  <c r="O357" i="1"/>
  <c r="H320" i="1"/>
  <c r="M334" i="1"/>
  <c r="J319" i="1"/>
  <c r="K319" i="1"/>
  <c r="L319" i="1"/>
  <c r="N319" i="1"/>
  <c r="K364" i="1"/>
  <c r="B263" i="1"/>
  <c r="I424" i="1"/>
  <c r="K360" i="1"/>
  <c r="L360" i="1"/>
  <c r="M360" i="1"/>
  <c r="O360" i="1"/>
  <c r="J315" i="1"/>
  <c r="K315" i="1"/>
  <c r="L315" i="1"/>
  <c r="N315" i="1"/>
  <c r="L364" i="1"/>
  <c r="M364" i="1"/>
  <c r="O364" i="1"/>
  <c r="K351" i="1"/>
  <c r="L351" i="1"/>
  <c r="M351" i="1"/>
  <c r="O351" i="1"/>
  <c r="J306" i="1"/>
  <c r="K306" i="1"/>
  <c r="L306" i="1"/>
  <c r="N306" i="1"/>
  <c r="K353" i="1"/>
  <c r="L353" i="1"/>
  <c r="M353" i="1"/>
  <c r="O353" i="1"/>
  <c r="J308" i="1"/>
  <c r="K308" i="1"/>
  <c r="L308" i="1"/>
  <c r="N308" i="1"/>
  <c r="L110" i="1"/>
  <c r="M110" i="1"/>
  <c r="L112" i="1"/>
  <c r="M112" i="1"/>
  <c r="B264" i="1"/>
  <c r="D265" i="1"/>
  <c r="K289" i="1"/>
  <c r="I320" i="1"/>
  <c r="B261" i="1"/>
  <c r="K338" i="1"/>
  <c r="J293" i="1"/>
  <c r="K293" i="1"/>
  <c r="L293" i="1"/>
  <c r="N293" i="1"/>
  <c r="K312" i="1"/>
  <c r="L312" i="1"/>
  <c r="N312" i="1"/>
  <c r="G426" i="1"/>
  <c r="H425" i="1"/>
  <c r="I425" i="1"/>
  <c r="J314" i="1"/>
  <c r="K314" i="1"/>
  <c r="L314" i="1"/>
  <c r="N314" i="1"/>
  <c r="K344" i="1"/>
  <c r="L344" i="1"/>
  <c r="M344" i="1"/>
  <c r="O344" i="1"/>
  <c r="J299" i="1"/>
  <c r="K299" i="1"/>
  <c r="L299" i="1"/>
  <c r="N299" i="1"/>
  <c r="J301" i="1"/>
  <c r="K301" i="1"/>
  <c r="L301" i="1"/>
  <c r="N301" i="1"/>
  <c r="K346" i="1"/>
  <c r="L346" i="1"/>
  <c r="M346" i="1"/>
  <c r="O346" i="1"/>
  <c r="L123" i="1"/>
  <c r="M123" i="1"/>
  <c r="K359" i="1"/>
  <c r="I365" i="1"/>
  <c r="K116" i="1"/>
  <c r="K97" i="1"/>
  <c r="K118" i="1"/>
  <c r="L359" i="1"/>
  <c r="M359" i="1"/>
  <c r="O359" i="1"/>
  <c r="K119" i="1"/>
  <c r="J95" i="1"/>
  <c r="B166" i="1"/>
  <c r="K95" i="1"/>
  <c r="H124" i="1"/>
  <c r="L338" i="1"/>
  <c r="M338" i="1"/>
  <c r="O338" i="1"/>
  <c r="K103" i="1"/>
  <c r="L289" i="1"/>
  <c r="L103" i="1"/>
  <c r="M103" i="1"/>
  <c r="L166" i="1"/>
  <c r="K206" i="1"/>
  <c r="B195" i="1"/>
  <c r="L195" i="1"/>
  <c r="L118" i="1"/>
  <c r="M118" i="1"/>
  <c r="D266" i="1"/>
  <c r="B265" i="1"/>
  <c r="G427" i="1"/>
  <c r="H426" i="1"/>
  <c r="L95" i="1"/>
  <c r="K124" i="1"/>
  <c r="K336" i="1"/>
  <c r="L336" i="1"/>
  <c r="J291" i="1"/>
  <c r="J124" i="1"/>
  <c r="L97" i="1"/>
  <c r="M97" i="1"/>
  <c r="L119" i="1"/>
  <c r="M119" i="1"/>
  <c r="L116" i="1"/>
  <c r="M116" i="1"/>
  <c r="O334" i="1"/>
  <c r="N334" i="1"/>
  <c r="N335" i="1"/>
  <c r="L124" i="1"/>
  <c r="J320" i="1"/>
  <c r="K291" i="1"/>
  <c r="M95" i="1"/>
  <c r="M124" i="1"/>
  <c r="B266" i="1"/>
  <c r="D267" i="1"/>
  <c r="K23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N289" i="1"/>
  <c r="M289" i="1"/>
  <c r="M290" i="1"/>
  <c r="G428" i="1"/>
  <c r="H427" i="1"/>
  <c r="I427" i="1"/>
  <c r="P334" i="1"/>
  <c r="P335" i="1"/>
  <c r="M336" i="1"/>
  <c r="L365" i="1"/>
  <c r="M365" i="1"/>
  <c r="O365" i="1"/>
  <c r="I426" i="1"/>
  <c r="L291" i="1"/>
  <c r="K320" i="1"/>
  <c r="O336" i="1"/>
  <c r="G367" i="1"/>
  <c r="G429" i="1"/>
  <c r="H428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D268" i="1"/>
  <c r="B267" i="1"/>
  <c r="O289" i="1"/>
  <c r="O290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G430" i="1"/>
  <c r="H429" i="1"/>
  <c r="I429" i="1"/>
  <c r="D269" i="1"/>
  <c r="B268" i="1"/>
  <c r="L368" i="1"/>
  <c r="G368" i="1"/>
  <c r="I428" i="1"/>
  <c r="N291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G323" i="1"/>
  <c r="L320" i="1"/>
  <c r="L323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D270" i="1"/>
  <c r="B269" i="1"/>
  <c r="L324" i="1"/>
  <c r="N320" i="1"/>
  <c r="G431" i="1"/>
  <c r="H430" i="1"/>
  <c r="G432" i="1"/>
  <c r="H431" i="1"/>
  <c r="I431" i="1"/>
  <c r="I430" i="1"/>
  <c r="D271" i="1"/>
  <c r="B271" i="1"/>
  <c r="B270" i="1"/>
  <c r="G433" i="1"/>
  <c r="H432" i="1"/>
  <c r="I432" i="1"/>
  <c r="G434" i="1"/>
  <c r="H433" i="1"/>
  <c r="I433" i="1"/>
  <c r="G435" i="1"/>
  <c r="H434" i="1"/>
  <c r="I434" i="1"/>
  <c r="G436" i="1"/>
  <c r="H435" i="1"/>
  <c r="I435" i="1"/>
  <c r="G437" i="1"/>
  <c r="H436" i="1"/>
  <c r="I436" i="1"/>
  <c r="G438" i="1"/>
  <c r="H437" i="1"/>
  <c r="I437" i="1"/>
  <c r="G439" i="1"/>
  <c r="H438" i="1"/>
  <c r="I438" i="1"/>
  <c r="G440" i="1"/>
  <c r="H439" i="1"/>
  <c r="I439" i="1"/>
  <c r="G441" i="1"/>
  <c r="H440" i="1"/>
  <c r="I440" i="1"/>
  <c r="G442" i="1"/>
  <c r="H441" i="1"/>
  <c r="I441" i="1"/>
  <c r="G443" i="1"/>
  <c r="H442" i="1"/>
  <c r="I442" i="1"/>
  <c r="G444" i="1"/>
  <c r="H443" i="1"/>
  <c r="I443" i="1"/>
  <c r="G445" i="1"/>
  <c r="H444" i="1"/>
  <c r="I444" i="1"/>
  <c r="G446" i="1"/>
  <c r="H445" i="1"/>
  <c r="I445" i="1"/>
  <c r="G447" i="1"/>
  <c r="H446" i="1"/>
  <c r="I446" i="1"/>
  <c r="G448" i="1"/>
  <c r="H447" i="1"/>
  <c r="I447" i="1"/>
  <c r="G449" i="1"/>
  <c r="H448" i="1"/>
  <c r="I448" i="1"/>
  <c r="G450" i="1"/>
  <c r="H449" i="1"/>
  <c r="I449" i="1"/>
  <c r="G451" i="1"/>
  <c r="H450" i="1"/>
  <c r="I450" i="1"/>
  <c r="H451" i="1"/>
  <c r="G452" i="1"/>
  <c r="I451" i="1"/>
  <c r="H452" i="1"/>
  <c r="I455" i="1"/>
  <c r="I454" i="1"/>
  <c r="I452" i="1"/>
</calcChain>
</file>

<file path=xl/sharedStrings.xml><?xml version="1.0" encoding="utf-8"?>
<sst xmlns="http://schemas.openxmlformats.org/spreadsheetml/2006/main" count="248" uniqueCount="184">
  <si>
    <t>6-35</t>
    <phoneticPr fontId="2" type="noConversion"/>
  </si>
  <si>
    <t>折旧费</t>
    <phoneticPr fontId="2" type="noConversion"/>
  </si>
  <si>
    <t>修理费</t>
    <phoneticPr fontId="2" type="noConversion"/>
  </si>
  <si>
    <t>保险费</t>
    <phoneticPr fontId="2" type="noConversion"/>
  </si>
  <si>
    <t>工资,福利及劳保统筹</t>
    <phoneticPr fontId="2" type="noConversion"/>
  </si>
  <si>
    <t>材料费</t>
    <phoneticPr fontId="2" type="noConversion"/>
  </si>
  <si>
    <t>库区维护基金</t>
    <phoneticPr fontId="2" type="noConversion"/>
  </si>
  <si>
    <t>抽水电费</t>
    <phoneticPr fontId="2" type="noConversion"/>
  </si>
  <si>
    <t>摊销费</t>
    <phoneticPr fontId="2" type="noConversion"/>
  </si>
  <si>
    <t>利息支出</t>
    <phoneticPr fontId="2" type="noConversion"/>
  </si>
  <si>
    <t>其他费</t>
    <phoneticPr fontId="2" type="noConversion"/>
  </si>
  <si>
    <t>移民后期扶持基金</t>
    <phoneticPr fontId="2" type="noConversion"/>
  </si>
  <si>
    <t>合计</t>
    <phoneticPr fontId="2" type="noConversion"/>
  </si>
  <si>
    <t>其中:经营成本</t>
    <phoneticPr fontId="2" type="noConversion"/>
  </si>
  <si>
    <t>电价</t>
    <phoneticPr fontId="2" type="noConversion"/>
  </si>
  <si>
    <t>销售收入</t>
    <phoneticPr fontId="2" type="noConversion"/>
  </si>
  <si>
    <t>城建税</t>
    <phoneticPr fontId="2" type="noConversion"/>
  </si>
  <si>
    <t>教育费附加</t>
    <phoneticPr fontId="2" type="noConversion"/>
  </si>
  <si>
    <t>总成本费用</t>
    <phoneticPr fontId="2" type="noConversion"/>
  </si>
  <si>
    <t>利润总额</t>
    <phoneticPr fontId="2" type="noConversion"/>
  </si>
  <si>
    <t>弥补亏损</t>
    <phoneticPr fontId="2" type="noConversion"/>
  </si>
  <si>
    <t>所得税</t>
    <phoneticPr fontId="2" type="noConversion"/>
  </si>
  <si>
    <t>税后利润</t>
    <phoneticPr fontId="2" type="noConversion"/>
  </si>
  <si>
    <t>盈余公积金及公益金</t>
    <phoneticPr fontId="2" type="noConversion"/>
  </si>
  <si>
    <t>可供分配利润</t>
    <phoneticPr fontId="2" type="noConversion"/>
  </si>
  <si>
    <t>应付利润</t>
    <phoneticPr fontId="2" type="noConversion"/>
  </si>
  <si>
    <t>未分配利润</t>
    <phoneticPr fontId="2" type="noConversion"/>
  </si>
  <si>
    <t>本金</t>
    <phoneticPr fontId="2" type="noConversion"/>
  </si>
  <si>
    <t>建设期利息</t>
    <phoneticPr fontId="2" type="noConversion"/>
  </si>
  <si>
    <t>本年借款</t>
    <phoneticPr fontId="2" type="noConversion"/>
  </si>
  <si>
    <t>还贷利润</t>
    <phoneticPr fontId="2" type="noConversion"/>
  </si>
  <si>
    <t>还贷折旧</t>
    <phoneticPr fontId="2" type="noConversion"/>
  </si>
  <si>
    <t>还贷摊销</t>
    <phoneticPr fontId="2" type="noConversion"/>
  </si>
  <si>
    <t>所得税还贷</t>
    <phoneticPr fontId="2" type="noConversion"/>
  </si>
  <si>
    <t>计入成本的利息支出</t>
    <phoneticPr fontId="2" type="noConversion"/>
  </si>
  <si>
    <t>长期借款</t>
    <phoneticPr fontId="2" type="noConversion"/>
  </si>
  <si>
    <t>流动资金借款</t>
    <phoneticPr fontId="2" type="noConversion"/>
  </si>
  <si>
    <t>其他短期借款</t>
    <phoneticPr fontId="2" type="noConversion"/>
  </si>
  <si>
    <t>资本金</t>
    <phoneticPr fontId="2" type="noConversion"/>
  </si>
  <si>
    <t>其他</t>
    <phoneticPr fontId="2" type="noConversion"/>
  </si>
  <si>
    <t>回收固定资产余值</t>
    <phoneticPr fontId="2" type="noConversion"/>
  </si>
  <si>
    <t>回收流动资金</t>
    <phoneticPr fontId="2" type="noConversion"/>
  </si>
  <si>
    <t>总计</t>
    <phoneticPr fontId="2" type="noConversion"/>
  </si>
  <si>
    <t>资金来源与运用表(资金运用及盈余部分)</t>
    <phoneticPr fontId="2" type="noConversion"/>
  </si>
  <si>
    <t>固定资产投资</t>
    <phoneticPr fontId="2" type="noConversion"/>
  </si>
  <si>
    <t>流动资金</t>
    <phoneticPr fontId="2" type="noConversion"/>
  </si>
  <si>
    <t>流动资金借款本金偿还</t>
    <phoneticPr fontId="2" type="noConversion"/>
  </si>
  <si>
    <t>其他短期借款本金偿还</t>
    <phoneticPr fontId="2" type="noConversion"/>
  </si>
  <si>
    <t>盈余资金</t>
    <phoneticPr fontId="2" type="noConversion"/>
  </si>
  <si>
    <t>累计盈余资金</t>
    <phoneticPr fontId="2" type="noConversion"/>
  </si>
  <si>
    <t>流动资产总值</t>
    <phoneticPr fontId="2" type="noConversion"/>
  </si>
  <si>
    <t>在建工程</t>
    <phoneticPr fontId="2" type="noConversion"/>
  </si>
  <si>
    <t>固定资产净值</t>
    <phoneticPr fontId="2" type="noConversion"/>
  </si>
  <si>
    <t>无形及递延资产净值</t>
    <phoneticPr fontId="2" type="noConversion"/>
  </si>
  <si>
    <t>累计亏损</t>
    <phoneticPr fontId="2" type="noConversion"/>
  </si>
  <si>
    <t>流动负债总额</t>
    <phoneticPr fontId="2" type="noConversion"/>
  </si>
  <si>
    <t>负债小计</t>
    <phoneticPr fontId="2" type="noConversion"/>
  </si>
  <si>
    <t>以电养电资金及其他</t>
    <phoneticPr fontId="2" type="noConversion"/>
  </si>
  <si>
    <t>累计盈余公积金公益金</t>
    <phoneticPr fontId="2" type="noConversion"/>
  </si>
  <si>
    <t>累计未分配利润</t>
    <phoneticPr fontId="2" type="noConversion"/>
  </si>
  <si>
    <t>小计</t>
    <phoneticPr fontId="2" type="noConversion"/>
  </si>
  <si>
    <t>资产负债率</t>
    <phoneticPr fontId="2" type="noConversion"/>
  </si>
  <si>
    <t>资产负债情况表</t>
    <phoneticPr fontId="2" type="noConversion"/>
  </si>
  <si>
    <t>发电销售收入</t>
    <phoneticPr fontId="2" type="noConversion"/>
  </si>
  <si>
    <t>现金流入</t>
    <phoneticPr fontId="2" type="noConversion"/>
  </si>
  <si>
    <t>经营成本</t>
    <phoneticPr fontId="2" type="noConversion"/>
  </si>
  <si>
    <t>销售税附加</t>
    <phoneticPr fontId="2" type="noConversion"/>
  </si>
  <si>
    <t>现金流出</t>
    <phoneticPr fontId="2" type="noConversion"/>
  </si>
  <si>
    <t>净现金流量</t>
    <phoneticPr fontId="2" type="noConversion"/>
  </si>
  <si>
    <t>累计净现金流量</t>
    <phoneticPr fontId="2" type="noConversion"/>
  </si>
  <si>
    <t>所得税前净现金流量</t>
    <phoneticPr fontId="2" type="noConversion"/>
  </si>
  <si>
    <t>累计所得税前净现金流量</t>
    <phoneticPr fontId="2" type="noConversion"/>
  </si>
  <si>
    <t>所得税后:</t>
    <phoneticPr fontId="2" type="noConversion"/>
  </si>
  <si>
    <t>IRR=</t>
    <phoneticPr fontId="2" type="noConversion"/>
  </si>
  <si>
    <t>15.42年</t>
    <phoneticPr fontId="2" type="noConversion"/>
  </si>
  <si>
    <t>投资回收期:</t>
    <phoneticPr fontId="2" type="noConversion"/>
  </si>
  <si>
    <t>现金流入</t>
    <phoneticPr fontId="2" type="noConversion"/>
  </si>
  <si>
    <t>所得税前:</t>
    <phoneticPr fontId="2" type="noConversion"/>
  </si>
  <si>
    <t>借款本金偿还</t>
    <phoneticPr fontId="2" type="noConversion"/>
  </si>
  <si>
    <t>利息支付</t>
    <phoneticPr fontId="2" type="noConversion"/>
  </si>
  <si>
    <t>经营成本</t>
    <phoneticPr fontId="2" type="noConversion"/>
  </si>
  <si>
    <t>销售税金附加</t>
    <phoneticPr fontId="2" type="noConversion"/>
  </si>
  <si>
    <t>所得税</t>
    <phoneticPr fontId="2" type="noConversion"/>
  </si>
  <si>
    <t>合计</t>
    <phoneticPr fontId="2" type="noConversion"/>
  </si>
  <si>
    <t>现金流出</t>
    <phoneticPr fontId="2" type="noConversion"/>
  </si>
  <si>
    <t>14.95年</t>
    <phoneticPr fontId="2" type="noConversion"/>
  </si>
  <si>
    <t>NPV:(7%)</t>
    <phoneticPr fontId="2" type="noConversion"/>
  </si>
  <si>
    <t>NPV:(8%)</t>
    <phoneticPr fontId="2" type="noConversion"/>
  </si>
  <si>
    <t>22.42年</t>
    <phoneticPr fontId="2" type="noConversion"/>
  </si>
  <si>
    <t>18.31年</t>
    <phoneticPr fontId="2" type="noConversion"/>
  </si>
  <si>
    <t>年序</t>
    <phoneticPr fontId="2" type="noConversion"/>
  </si>
  <si>
    <t>固定资产投资及机组投产计划表</t>
    <phoneticPr fontId="2" type="noConversion"/>
  </si>
  <si>
    <t>固定资产投资(万元)</t>
    <phoneticPr fontId="2" type="noConversion"/>
  </si>
  <si>
    <t>年末装机(MW)</t>
    <phoneticPr fontId="2" type="noConversion"/>
  </si>
  <si>
    <t>建设期利息</t>
    <phoneticPr fontId="2" type="noConversion"/>
  </si>
  <si>
    <t>流动资金</t>
    <phoneticPr fontId="2" type="noConversion"/>
  </si>
  <si>
    <t>投资计划</t>
    <phoneticPr fontId="2" type="noConversion"/>
  </si>
  <si>
    <t>资金筹措表</t>
    <phoneticPr fontId="2" type="noConversion"/>
  </si>
  <si>
    <t>资本金</t>
    <phoneticPr fontId="2" type="noConversion"/>
  </si>
  <si>
    <t>其中:用于流动</t>
    <phoneticPr fontId="2" type="noConversion"/>
  </si>
  <si>
    <t>借款</t>
    <phoneticPr fontId="2" type="noConversion"/>
  </si>
  <si>
    <t>长期借款</t>
    <phoneticPr fontId="2" type="noConversion"/>
  </si>
  <si>
    <t>流动资金借款</t>
    <phoneticPr fontId="2" type="noConversion"/>
  </si>
  <si>
    <t>有效电量</t>
    <phoneticPr fontId="2" type="noConversion"/>
  </si>
  <si>
    <t>上网电量</t>
    <phoneticPr fontId="2" type="noConversion"/>
  </si>
  <si>
    <t>第5年</t>
    <phoneticPr fontId="2" type="noConversion"/>
  </si>
  <si>
    <t>第6-35年</t>
    <phoneticPr fontId="2" type="noConversion"/>
  </si>
  <si>
    <t>发电成本</t>
    <phoneticPr fontId="2" type="noConversion"/>
  </si>
  <si>
    <t>(不包括折旧费和利息支出)</t>
    <phoneticPr fontId="2" type="noConversion"/>
  </si>
  <si>
    <t xml:space="preserve">               上网电量</t>
    <phoneticPr fontId="2" type="noConversion"/>
  </si>
  <si>
    <t>总成本费用估算表</t>
    <phoneticPr fontId="2" type="noConversion"/>
  </si>
  <si>
    <t>损益表</t>
    <phoneticPr fontId="2" type="noConversion"/>
  </si>
  <si>
    <t>资金来源与运用表(资金来源部分)</t>
    <phoneticPr fontId="2" type="noConversion"/>
  </si>
  <si>
    <t>现金流量表</t>
    <phoneticPr fontId="2" type="noConversion"/>
  </si>
  <si>
    <t>现金流量表(资本金)</t>
    <phoneticPr fontId="2" type="noConversion"/>
  </si>
  <si>
    <t>流动资金10元/KW,自有资金30%,借款70%,利率5.58%,利息计如发电成本,计算期末尾一次收回.</t>
    <phoneticPr fontId="2" type="noConversion"/>
  </si>
  <si>
    <r>
      <t>某电站装机容量100MW,年发电量4.06*10</t>
    </r>
    <r>
      <rPr>
        <b/>
        <vertAlign val="superscript"/>
        <sz val="12"/>
        <rFont val="宋体"/>
        <charset val="134"/>
      </rPr>
      <t>8</t>
    </r>
    <r>
      <rPr>
        <b/>
        <sz val="12"/>
        <rFont val="宋体"/>
        <charset val="134"/>
      </rPr>
      <t xml:space="preserve">KW.H,  资本金基准收益率8%,   </t>
    </r>
    <phoneticPr fontId="2" type="noConversion"/>
  </si>
  <si>
    <t>借款还本付息表</t>
    <phoneticPr fontId="2" type="noConversion"/>
  </si>
  <si>
    <t xml:space="preserve"> 本年借款本息合计</t>
    <phoneticPr fontId="2" type="noConversion"/>
  </si>
  <si>
    <t>借款及还本付息</t>
    <phoneticPr fontId="2" type="noConversion"/>
  </si>
  <si>
    <t>偿还借款的资金来源</t>
    <phoneticPr fontId="2" type="noConversion"/>
  </si>
  <si>
    <t>资产</t>
    <phoneticPr fontId="2" type="noConversion"/>
  </si>
  <si>
    <t>负债及所有者权益</t>
    <phoneticPr fontId="2" type="noConversion"/>
  </si>
  <si>
    <t>负债</t>
    <phoneticPr fontId="2" type="noConversion"/>
  </si>
  <si>
    <t>所有者权益</t>
    <phoneticPr fontId="2" type="noConversion"/>
  </si>
  <si>
    <t>筹建期全用资本金,施工期资本金占20%,其余为银行贷款,利率6.12%,建设期利息计如固定资产价值; 折旧率4%</t>
    <phoneticPr fontId="2" type="noConversion"/>
  </si>
  <si>
    <t>国民经济评价</t>
    <phoneticPr fontId="2" type="noConversion"/>
  </si>
  <si>
    <t>替代方案逐年投入容量和替代电量表</t>
    <phoneticPr fontId="2" type="noConversion"/>
  </si>
  <si>
    <t>年序</t>
    <phoneticPr fontId="2" type="noConversion"/>
  </si>
  <si>
    <t>6-35</t>
    <phoneticPr fontId="2" type="noConversion"/>
  </si>
  <si>
    <t>新增替代容量(MW)</t>
    <phoneticPr fontId="2" type="noConversion"/>
  </si>
  <si>
    <r>
      <t>年发电量(10</t>
    </r>
    <r>
      <rPr>
        <vertAlign val="superscript"/>
        <sz val="12"/>
        <rFont val="宋体"/>
        <charset val="134"/>
      </rPr>
      <t>8</t>
    </r>
    <r>
      <rPr>
        <sz val="12"/>
        <rFont val="宋体"/>
        <charset val="134"/>
      </rPr>
      <t>KW.H)</t>
    </r>
    <phoneticPr fontId="2" type="noConversion"/>
  </si>
  <si>
    <r>
      <t>替代电量(10</t>
    </r>
    <r>
      <rPr>
        <vertAlign val="superscript"/>
        <sz val="12"/>
        <rFont val="宋体"/>
        <charset val="134"/>
      </rPr>
      <t>8</t>
    </r>
    <r>
      <rPr>
        <sz val="12"/>
        <rFont val="宋体"/>
        <charset val="134"/>
      </rPr>
      <t>KW.H)</t>
    </r>
    <phoneticPr fontId="2" type="noConversion"/>
  </si>
  <si>
    <t>投资</t>
    <phoneticPr fontId="2" type="noConversion"/>
  </si>
  <si>
    <t>经营成本=固定部分经营成本+燃料费用</t>
  </si>
  <si>
    <t>固定部分经营成本按固定资产投资的4.5%计, 燃料费按320克/KW.H, 230元/T, 按1%逐年递增</t>
  </si>
  <si>
    <t>水电投资</t>
    <phoneticPr fontId="2" type="noConversion"/>
  </si>
  <si>
    <t>水电经营成本</t>
    <phoneticPr fontId="2" type="noConversion"/>
  </si>
  <si>
    <t>合计</t>
    <phoneticPr fontId="2" type="noConversion"/>
  </si>
  <si>
    <t>火电投资</t>
    <phoneticPr fontId="2" type="noConversion"/>
  </si>
  <si>
    <t>火电经营成本</t>
    <phoneticPr fontId="2" type="noConversion"/>
  </si>
  <si>
    <t>燃料费</t>
    <phoneticPr fontId="2" type="noConversion"/>
  </si>
  <si>
    <t>净现金流</t>
    <phoneticPr fontId="2" type="noConversion"/>
  </si>
  <si>
    <t>IRR=</t>
    <phoneticPr fontId="2" type="noConversion"/>
  </si>
  <si>
    <t>NPV(10%)=</t>
    <phoneticPr fontId="2" type="noConversion"/>
  </si>
  <si>
    <t>•最优等效法: 一般以火电站为替代方案. 即认为如果不修建某水电站,则需要修建一座能同等程度满足电力系统负荷需要的火电站.因修建水电站所节省的替代电站的费用,可以认为是修建水电站的国民经济效益.
因为火电站的厂用电较多, 火电站的年发电量应为1.05-1.06倍</t>
    <phoneticPr fontId="2" type="noConversion"/>
  </si>
  <si>
    <t>固定资产投资: 按影子价格计算, 建火电站的单位单位千瓦投资为4300元/KW, 总投资45150万元; 建设期4年,投资比例按20%,30%,30%,20%</t>
    <phoneticPr fontId="2" type="noConversion"/>
  </si>
  <si>
    <t>设计水电方案逐年投资流程(扣除有关税费)</t>
    <phoneticPr fontId="2" type="noConversion"/>
  </si>
  <si>
    <t>水电经营成本在财务评价成果上扣除有关税费</t>
    <phoneticPr fontId="2" type="noConversion"/>
  </si>
  <si>
    <t>设计水电方案</t>
    <phoneticPr fontId="2" type="noConversion"/>
  </si>
  <si>
    <t>替代火电方案</t>
    <phoneticPr fontId="2" type="noConversion"/>
  </si>
  <si>
    <t>国民经济现金流量表    (万元)</t>
    <phoneticPr fontId="2" type="noConversion"/>
  </si>
  <si>
    <t>大于10%</t>
    <phoneticPr fontId="2" type="noConversion"/>
  </si>
  <si>
    <t>大于0</t>
    <phoneticPr fontId="2" type="noConversion"/>
  </si>
  <si>
    <t>财务评价指标汇总</t>
    <phoneticPr fontId="2" type="noConversion"/>
  </si>
  <si>
    <t>动态单位千瓦时投资</t>
    <phoneticPr fontId="2" type="noConversion"/>
  </si>
  <si>
    <t>资产负债率</t>
    <phoneticPr fontId="2" type="noConversion"/>
  </si>
  <si>
    <t>元/KW</t>
    <phoneticPr fontId="2" type="noConversion"/>
  </si>
  <si>
    <t>2008年1月价格水平</t>
    <phoneticPr fontId="2" type="noConversion"/>
  </si>
  <si>
    <t>项目</t>
    <phoneticPr fontId="2" type="noConversion"/>
  </si>
  <si>
    <t>单位</t>
    <phoneticPr fontId="2" type="noConversion"/>
  </si>
  <si>
    <t>指标</t>
    <phoneticPr fontId="2" type="noConversion"/>
  </si>
  <si>
    <t>备注</t>
    <phoneticPr fontId="2" type="noConversion"/>
  </si>
  <si>
    <t>静态总投资</t>
    <phoneticPr fontId="2" type="noConversion"/>
  </si>
  <si>
    <t>万元</t>
    <phoneticPr fontId="2" type="noConversion"/>
  </si>
  <si>
    <t>总投资</t>
    <phoneticPr fontId="2" type="noConversion"/>
  </si>
  <si>
    <t>经营期上网电价</t>
    <phoneticPr fontId="2" type="noConversion"/>
  </si>
  <si>
    <t>元/KW.H</t>
    <phoneticPr fontId="2" type="noConversion"/>
  </si>
  <si>
    <t>静态单位千瓦投资</t>
    <phoneticPr fontId="2" type="noConversion"/>
  </si>
  <si>
    <t>动态单位千瓦投资</t>
    <phoneticPr fontId="2" type="noConversion"/>
  </si>
  <si>
    <t>静态单位千瓦时投资</t>
    <phoneticPr fontId="2" type="noConversion"/>
  </si>
  <si>
    <t>全部投资IRR</t>
    <phoneticPr fontId="2" type="noConversion"/>
  </si>
  <si>
    <t>%</t>
    <phoneticPr fontId="2" type="noConversion"/>
  </si>
  <si>
    <t>资本金IRR</t>
    <phoneticPr fontId="2" type="noConversion"/>
  </si>
  <si>
    <t>投资回收期</t>
    <phoneticPr fontId="2" type="noConversion"/>
  </si>
  <si>
    <t>年</t>
    <phoneticPr fontId="2" type="noConversion"/>
  </si>
  <si>
    <t>贷款偿还期</t>
    <phoneticPr fontId="2" type="noConversion"/>
  </si>
  <si>
    <t>从借款第一年算起</t>
    <phoneticPr fontId="2" type="noConversion"/>
  </si>
  <si>
    <t>最大值</t>
    <phoneticPr fontId="2" type="noConversion"/>
  </si>
  <si>
    <t>还贷期平均</t>
    <phoneticPr fontId="2" type="noConversion"/>
  </si>
  <si>
    <t>财务评价</t>
    <phoneticPr fontId="2" type="noConversion"/>
  </si>
  <si>
    <t>本年应计利息(6.12%)</t>
    <phoneticPr fontId="2" type="noConversion"/>
  </si>
  <si>
    <t>本年还本付息(见M列资金来源)</t>
    <phoneticPr fontId="2" type="noConversion"/>
  </si>
  <si>
    <t>长期借款本金偿还(2943.24 + H144)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</si>
</sst>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9" formatCode="&quot;¥&quot;#,##0.00;[Red]&quot;¥&quot;\-#,##0.00"/>
    <numFmt numFmtId="184" formatCode="0.00_ "/>
    <numFmt numFmtId="185" formatCode="0.00;[Red]0.00"/>
    <numFmt numFmtId="186" formatCode="0.0000_ "/>
    <numFmt numFmtId="192" formatCode="0.00_);[Red]\(0.00\)"/>
  </numFmts>
  <fonts count="11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vertAlign val="superscript"/>
      <sz val="12"/>
      <name val="宋体"/>
      <charset val="134"/>
    </font>
    <font>
      <b/>
      <sz val="12"/>
      <name val="宋体"/>
      <charset val="134"/>
    </font>
    <font>
      <b/>
      <vertAlign val="superscript"/>
      <sz val="12"/>
      <name val="宋体"/>
      <charset val="134"/>
    </font>
    <font>
      <sz val="12"/>
      <color indexed="10"/>
      <name val="宋体"/>
      <charset val="134"/>
    </font>
    <font>
      <b/>
      <sz val="26"/>
      <name val="宋体"/>
      <charset val="134"/>
    </font>
    <font>
      <b/>
      <sz val="12"/>
      <color indexed="8"/>
      <name val="宋体"/>
      <charset val="134"/>
    </font>
    <font>
      <sz val="12"/>
      <name val="宋体"/>
      <charset val="134"/>
    </font>
    <font>
      <b/>
      <sz val="28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18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186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184" fontId="0" fillId="0" borderId="1" xfId="0" applyNumberFormat="1" applyBorder="1">
      <alignment vertical="center"/>
    </xf>
    <xf numFmtId="184" fontId="0" fillId="0" borderId="2" xfId="0" applyNumberFormat="1" applyBorder="1">
      <alignment vertical="center"/>
    </xf>
    <xf numFmtId="184" fontId="0" fillId="0" borderId="0" xfId="0" applyNumberFormat="1" applyBorder="1">
      <alignment vertical="center"/>
    </xf>
    <xf numFmtId="184" fontId="0" fillId="0" borderId="6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184" fontId="6" fillId="0" borderId="0" xfId="0" applyNumberFormat="1" applyFont="1">
      <alignment vertical="center"/>
    </xf>
    <xf numFmtId="0" fontId="9" fillId="0" borderId="0" xfId="0" applyFont="1">
      <alignment vertical="center"/>
    </xf>
    <xf numFmtId="192" fontId="0" fillId="0" borderId="0" xfId="0" applyNumberFormat="1">
      <alignment vertical="center"/>
    </xf>
    <xf numFmtId="186" fontId="0" fillId="0" borderId="0" xfId="0" applyNumberFormat="1">
      <alignment vertical="center"/>
    </xf>
    <xf numFmtId="0" fontId="4" fillId="0" borderId="0" xfId="0" applyFont="1" applyAlignment="1">
      <alignment vertical="center"/>
    </xf>
    <xf numFmtId="0" fontId="0" fillId="0" borderId="6" xfId="0" applyBorder="1">
      <alignment vertical="center"/>
    </xf>
    <xf numFmtId="192" fontId="0" fillId="0" borderId="6" xfId="0" applyNumberFormat="1" applyBorder="1">
      <alignment vertical="center"/>
    </xf>
    <xf numFmtId="0" fontId="4" fillId="0" borderId="0" xfId="0" applyFont="1">
      <alignment vertical="center"/>
    </xf>
    <xf numFmtId="179" fontId="4" fillId="0" borderId="0" xfId="0" applyNumberFormat="1" applyFont="1">
      <alignment vertical="center"/>
    </xf>
    <xf numFmtId="184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5"/>
  <sheetViews>
    <sheetView tabSelected="1" topLeftCell="A340" workbookViewId="0">
      <selection activeCell="F367" sqref="F367"/>
    </sheetView>
  </sheetViews>
  <sheetFormatPr baseColWidth="10" defaultColWidth="8.83203125" defaultRowHeight="15" x14ac:dyDescent="0"/>
  <cols>
    <col min="1" max="1" width="13.33203125" customWidth="1"/>
    <col min="2" max="2" width="10.5" bestFit="1" customWidth="1"/>
    <col min="3" max="3" width="9.5" bestFit="1" customWidth="1"/>
    <col min="5" max="5" width="10.5" bestFit="1" customWidth="1"/>
    <col min="7" max="7" width="11" customWidth="1"/>
    <col min="8" max="8" width="11.6640625" customWidth="1"/>
    <col min="9" max="9" width="11.6640625" bestFit="1" customWidth="1"/>
    <col min="10" max="10" width="10.6640625" customWidth="1"/>
    <col min="11" max="11" width="12.1640625" customWidth="1"/>
    <col min="12" max="12" width="11.6640625" bestFit="1" customWidth="1"/>
    <col min="13" max="13" width="12.6640625" bestFit="1" customWidth="1"/>
    <col min="14" max="14" width="11" customWidth="1"/>
    <col min="15" max="15" width="11.6640625" bestFit="1" customWidth="1"/>
    <col min="16" max="16" width="11" customWidth="1"/>
    <col min="17" max="17" width="9.5" bestFit="1" customWidth="1"/>
  </cols>
  <sheetData>
    <row r="2" spans="1:14" ht="16">
      <c r="A2" s="47" t="s">
        <v>116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>
      <c r="A3" s="47" t="s">
        <v>125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4">
      <c r="A4" s="47" t="s">
        <v>115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4" ht="33">
      <c r="A5" s="42" t="s">
        <v>180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4">
      <c r="A6" s="43" t="s">
        <v>91</v>
      </c>
      <c r="B6" s="43"/>
      <c r="C6" s="43"/>
      <c r="D6" s="43"/>
      <c r="E6" s="43"/>
      <c r="F6" s="43"/>
    </row>
    <row r="7" spans="1:14" ht="16">
      <c r="A7" t="s">
        <v>90</v>
      </c>
      <c r="B7" t="s">
        <v>92</v>
      </c>
      <c r="C7" t="s">
        <v>93</v>
      </c>
      <c r="D7" t="s">
        <v>131</v>
      </c>
      <c r="E7" s="9"/>
    </row>
    <row r="8" spans="1:14">
      <c r="A8">
        <v>1</v>
      </c>
      <c r="B8">
        <v>1045.6199999999999</v>
      </c>
    </row>
    <row r="9" spans="1:14">
      <c r="A9">
        <v>2</v>
      </c>
      <c r="B9">
        <v>11502.75</v>
      </c>
    </row>
    <row r="10" spans="1:14">
      <c r="A10">
        <v>3</v>
      </c>
      <c r="B10">
        <v>18051.3</v>
      </c>
    </row>
    <row r="11" spans="1:14">
      <c r="A11">
        <v>4</v>
      </c>
      <c r="B11">
        <v>24226.44</v>
      </c>
    </row>
    <row r="12" spans="1:14">
      <c r="A12">
        <v>5</v>
      </c>
      <c r="B12">
        <v>13256.03</v>
      </c>
      <c r="C12">
        <v>100</v>
      </c>
      <c r="D12">
        <v>1.5225</v>
      </c>
    </row>
    <row r="13" spans="1:14">
      <c r="A13" s="1" t="s">
        <v>0</v>
      </c>
      <c r="C13">
        <v>100</v>
      </c>
      <c r="D13">
        <v>4.0599999999999996</v>
      </c>
    </row>
    <row r="14" spans="1:14">
      <c r="A14" s="1"/>
      <c r="B14">
        <f>SUM(B8:B13)</f>
        <v>68082.14</v>
      </c>
    </row>
    <row r="15" spans="1:14">
      <c r="A15" s="1"/>
    </row>
    <row r="16" spans="1:14">
      <c r="A16" s="1"/>
    </row>
    <row r="17" spans="1:8">
      <c r="A17" s="43" t="s">
        <v>96</v>
      </c>
      <c r="B17" s="43"/>
      <c r="C17" s="43"/>
      <c r="D17" s="43"/>
      <c r="E17" s="43"/>
      <c r="F17" s="43"/>
    </row>
    <row r="18" spans="1:8">
      <c r="B18" t="s">
        <v>92</v>
      </c>
      <c r="C18" t="s">
        <v>94</v>
      </c>
      <c r="D18" t="s">
        <v>95</v>
      </c>
      <c r="E18" t="s">
        <v>83</v>
      </c>
    </row>
    <row r="19" spans="1:8">
      <c r="A19">
        <v>1</v>
      </c>
      <c r="B19">
        <v>1045.6199999999999</v>
      </c>
      <c r="E19">
        <f t="shared" ref="E19:E24" si="0">B19+C19+D19</f>
        <v>1045.6199999999999</v>
      </c>
    </row>
    <row r="20" spans="1:8">
      <c r="A20">
        <v>2</v>
      </c>
      <c r="B20">
        <v>11502.75</v>
      </c>
      <c r="C20" s="2">
        <f>(B20-B31)*0.0612/2</f>
        <v>280.258668</v>
      </c>
      <c r="E20">
        <f t="shared" si="0"/>
        <v>11783.008668</v>
      </c>
    </row>
    <row r="21" spans="1:8">
      <c r="A21">
        <v>3</v>
      </c>
      <c r="B21">
        <v>18051.3</v>
      </c>
      <c r="C21" s="2">
        <f>(B21-B32)*0.0612/2+D31*0.0612</f>
        <v>1017.481824</v>
      </c>
      <c r="E21">
        <f t="shared" si="0"/>
        <v>19068.781823999998</v>
      </c>
    </row>
    <row r="22" spans="1:8">
      <c r="A22">
        <v>4</v>
      </c>
      <c r="B22">
        <v>24226.44</v>
      </c>
      <c r="C22">
        <v>2109.83</v>
      </c>
      <c r="E22">
        <f t="shared" si="0"/>
        <v>26336.269999999997</v>
      </c>
    </row>
    <row r="23" spans="1:8">
      <c r="A23">
        <v>5</v>
      </c>
      <c r="B23">
        <v>13256.03</v>
      </c>
      <c r="C23">
        <v>2091.23</v>
      </c>
      <c r="D23">
        <v>100</v>
      </c>
      <c r="E23">
        <f t="shared" si="0"/>
        <v>15447.26</v>
      </c>
    </row>
    <row r="24" spans="1:8">
      <c r="B24">
        <f>SUM(B19:B23)</f>
        <v>68082.14</v>
      </c>
      <c r="C24">
        <v>5498.8</v>
      </c>
      <c r="D24">
        <v>100</v>
      </c>
      <c r="E24">
        <f t="shared" si="0"/>
        <v>73680.94</v>
      </c>
      <c r="H24" s="2"/>
    </row>
    <row r="27" spans="1:8">
      <c r="A27" s="43" t="s">
        <v>97</v>
      </c>
      <c r="B27" s="43"/>
      <c r="C27" s="43"/>
      <c r="D27" s="43"/>
      <c r="E27" s="43"/>
      <c r="F27" s="43"/>
    </row>
    <row r="28" spans="1:8">
      <c r="A28" s="5"/>
      <c r="B28" s="40" t="s">
        <v>98</v>
      </c>
      <c r="C28" s="40"/>
      <c r="D28" s="40" t="s">
        <v>100</v>
      </c>
      <c r="E28" s="40"/>
      <c r="F28" s="40" t="s">
        <v>83</v>
      </c>
    </row>
    <row r="29" spans="1:8">
      <c r="A29" s="5"/>
      <c r="B29" s="5" t="s">
        <v>98</v>
      </c>
      <c r="C29" s="5" t="s">
        <v>99</v>
      </c>
      <c r="D29" s="5" t="s">
        <v>101</v>
      </c>
      <c r="E29" s="5" t="s">
        <v>102</v>
      </c>
      <c r="F29" s="40"/>
    </row>
    <row r="30" spans="1:8">
      <c r="A30">
        <v>1</v>
      </c>
      <c r="B30">
        <v>1045.6199999999999</v>
      </c>
      <c r="F30">
        <f>B30+D30+E30</f>
        <v>1045.6199999999999</v>
      </c>
    </row>
    <row r="31" spans="1:8">
      <c r="A31">
        <v>2</v>
      </c>
      <c r="B31">
        <v>2343.9699999999998</v>
      </c>
      <c r="D31">
        <v>9439.07</v>
      </c>
      <c r="F31">
        <f>B31+D31+E31</f>
        <v>11783.039999999999</v>
      </c>
    </row>
    <row r="32" spans="1:8">
      <c r="A32">
        <v>3</v>
      </c>
      <c r="B32">
        <v>3678.4</v>
      </c>
      <c r="D32">
        <v>15390.38</v>
      </c>
      <c r="F32">
        <f>B32+D32+E32</f>
        <v>19068.78</v>
      </c>
    </row>
    <row r="33" spans="1:18">
      <c r="A33">
        <v>4</v>
      </c>
      <c r="B33">
        <v>4936.74</v>
      </c>
      <c r="D33">
        <v>21399.53</v>
      </c>
      <c r="F33">
        <f>B33+D33+E33</f>
        <v>26336.269999999997</v>
      </c>
    </row>
    <row r="34" spans="1:18">
      <c r="A34">
        <v>5</v>
      </c>
      <c r="B34">
        <v>2731.25</v>
      </c>
      <c r="C34">
        <v>30</v>
      </c>
      <c r="D34">
        <v>12646.02</v>
      </c>
      <c r="E34">
        <v>70</v>
      </c>
      <c r="F34">
        <f>B34+D34+E34</f>
        <v>15447.27</v>
      </c>
    </row>
    <row r="35" spans="1:18">
      <c r="B35">
        <v>14735.97</v>
      </c>
      <c r="C35">
        <v>30</v>
      </c>
      <c r="D35">
        <v>58874.96</v>
      </c>
      <c r="E35">
        <v>70</v>
      </c>
      <c r="F35">
        <v>73680.94</v>
      </c>
    </row>
    <row r="38" spans="1:18">
      <c r="A38" s="47" t="s">
        <v>109</v>
      </c>
      <c r="B38" s="47"/>
      <c r="C38" s="47"/>
      <c r="D38" s="47"/>
      <c r="E38" s="47"/>
      <c r="F38" s="47"/>
      <c r="G38" s="47"/>
      <c r="H38" s="47"/>
      <c r="I38" s="47"/>
      <c r="J38" s="47"/>
    </row>
    <row r="39" spans="1:18">
      <c r="C39" t="s">
        <v>105</v>
      </c>
      <c r="D39" t="s">
        <v>106</v>
      </c>
      <c r="E39" s="40"/>
      <c r="F39" s="40"/>
      <c r="G39" s="40"/>
      <c r="H39" s="40"/>
    </row>
    <row r="40" spans="1:18">
      <c r="B40" t="s">
        <v>103</v>
      </c>
      <c r="C40">
        <v>1.4463999999999999</v>
      </c>
      <c r="D40">
        <v>3.8570000000000002</v>
      </c>
    </row>
    <row r="41" spans="1:18">
      <c r="B41" t="s">
        <v>104</v>
      </c>
      <c r="C41">
        <v>1.4428000000000001</v>
      </c>
      <c r="D41">
        <v>3.8473999999999999</v>
      </c>
    </row>
    <row r="44" spans="1:18">
      <c r="A44" s="43" t="s">
        <v>110</v>
      </c>
      <c r="B44" s="43"/>
      <c r="C44" s="43"/>
      <c r="D44" s="43"/>
      <c r="E44" s="43"/>
      <c r="F44" s="43"/>
      <c r="G44" s="43"/>
      <c r="H44" s="43"/>
    </row>
    <row r="46" spans="1:18">
      <c r="B46" s="40" t="s">
        <v>107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8" t="s">
        <v>13</v>
      </c>
    </row>
    <row r="47" spans="1:18"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s="5" t="s">
        <v>12</v>
      </c>
      <c r="N47" s="48"/>
    </row>
    <row r="48" spans="1:18">
      <c r="A48">
        <v>1</v>
      </c>
      <c r="N48" s="53" t="s">
        <v>108</v>
      </c>
      <c r="O48" s="53"/>
      <c r="P48" s="53"/>
      <c r="Q48" s="53"/>
      <c r="R48" s="53"/>
    </row>
    <row r="49" spans="1:14">
      <c r="A49">
        <v>2</v>
      </c>
    </row>
    <row r="50" spans="1:14">
      <c r="A50">
        <v>3</v>
      </c>
    </row>
    <row r="51" spans="1:14">
      <c r="A51">
        <v>4</v>
      </c>
    </row>
    <row r="52" spans="1:14">
      <c r="A52">
        <v>5</v>
      </c>
      <c r="B52">
        <v>1103.73</v>
      </c>
      <c r="C52">
        <v>275.93</v>
      </c>
      <c r="D52">
        <v>68.98</v>
      </c>
      <c r="E52">
        <v>75.349999999999994</v>
      </c>
      <c r="F52">
        <v>50</v>
      </c>
      <c r="G52">
        <v>14.43</v>
      </c>
      <c r="J52">
        <v>1064.8599999999999</v>
      </c>
      <c r="K52">
        <v>240</v>
      </c>
      <c r="L52">
        <v>12.64</v>
      </c>
      <c r="M52">
        <f>SUM(B52:L52)</f>
        <v>2905.9199999999996</v>
      </c>
      <c r="N52">
        <f>M52-B52-J52</f>
        <v>737.3299999999997</v>
      </c>
    </row>
    <row r="53" spans="1:14">
      <c r="A53">
        <v>6</v>
      </c>
      <c r="B53" s="26">
        <f>(B24+C24)*4%</f>
        <v>2943.2375999999999</v>
      </c>
      <c r="C53" s="26">
        <f>(B24+C24)*1%</f>
        <v>735.80939999999998</v>
      </c>
      <c r="D53" s="26">
        <f>(B24+C24)*0.25%</f>
        <v>183.95235</v>
      </c>
      <c r="E53">
        <v>200.92</v>
      </c>
      <c r="F53">
        <v>50</v>
      </c>
      <c r="G53">
        <v>38.47</v>
      </c>
      <c r="J53">
        <v>3539.51</v>
      </c>
      <c r="K53">
        <v>240</v>
      </c>
      <c r="L53">
        <v>12.64</v>
      </c>
      <c r="M53">
        <f t="shared" ref="M53:M82" si="1">SUM(B53:L53)</f>
        <v>7944.5393500000009</v>
      </c>
      <c r="N53">
        <f t="shared" ref="N53:N82" si="2">M53-B53-J53</f>
        <v>1461.7917500000003</v>
      </c>
    </row>
    <row r="54" spans="1:14">
      <c r="A54">
        <v>7</v>
      </c>
      <c r="B54">
        <v>2943.24</v>
      </c>
      <c r="C54">
        <v>735.81</v>
      </c>
      <c r="D54">
        <v>183.95</v>
      </c>
      <c r="E54">
        <v>200.92</v>
      </c>
      <c r="F54">
        <v>50</v>
      </c>
      <c r="G54">
        <v>38.47</v>
      </c>
      <c r="J54">
        <v>3359.38</v>
      </c>
      <c r="K54">
        <v>240</v>
      </c>
      <c r="L54">
        <v>12.64</v>
      </c>
      <c r="M54">
        <f t="shared" si="1"/>
        <v>7764.4100000000008</v>
      </c>
      <c r="N54">
        <f t="shared" si="2"/>
        <v>1461.7900000000009</v>
      </c>
    </row>
    <row r="55" spans="1:14">
      <c r="A55">
        <v>8</v>
      </c>
      <c r="B55">
        <v>2943.24</v>
      </c>
      <c r="C55">
        <v>735.81</v>
      </c>
      <c r="D55">
        <v>183.95</v>
      </c>
      <c r="E55">
        <v>200.92</v>
      </c>
      <c r="F55">
        <v>50</v>
      </c>
      <c r="G55">
        <v>38.47</v>
      </c>
      <c r="J55">
        <v>3179.25</v>
      </c>
      <c r="K55">
        <v>240</v>
      </c>
      <c r="L55">
        <v>12.64</v>
      </c>
      <c r="M55">
        <f t="shared" si="1"/>
        <v>7584.2800000000007</v>
      </c>
      <c r="N55">
        <f t="shared" si="2"/>
        <v>1461.7900000000009</v>
      </c>
    </row>
    <row r="56" spans="1:14">
      <c r="A56">
        <v>9</v>
      </c>
      <c r="B56">
        <v>2943.24</v>
      </c>
      <c r="C56">
        <v>735.81</v>
      </c>
      <c r="D56">
        <v>183.95</v>
      </c>
      <c r="E56">
        <v>200.92</v>
      </c>
      <c r="F56">
        <v>50</v>
      </c>
      <c r="G56">
        <v>38.47</v>
      </c>
      <c r="J56">
        <v>2999.13</v>
      </c>
      <c r="K56">
        <v>240</v>
      </c>
      <c r="L56">
        <v>12.64</v>
      </c>
      <c r="M56">
        <f t="shared" si="1"/>
        <v>7404.1600000000008</v>
      </c>
      <c r="N56">
        <f t="shared" si="2"/>
        <v>1461.7900000000009</v>
      </c>
    </row>
    <row r="57" spans="1:14">
      <c r="A57">
        <v>10</v>
      </c>
      <c r="B57">
        <v>2943.24</v>
      </c>
      <c r="C57">
        <v>735.81</v>
      </c>
      <c r="D57">
        <v>183.95</v>
      </c>
      <c r="E57">
        <v>200.92</v>
      </c>
      <c r="F57">
        <v>50</v>
      </c>
      <c r="G57">
        <v>38.47</v>
      </c>
      <c r="J57">
        <v>2819</v>
      </c>
      <c r="K57">
        <v>240</v>
      </c>
      <c r="L57">
        <v>12.64</v>
      </c>
      <c r="M57">
        <f t="shared" si="1"/>
        <v>7224.0300000000007</v>
      </c>
      <c r="N57">
        <f t="shared" si="2"/>
        <v>1461.7900000000009</v>
      </c>
    </row>
    <row r="58" spans="1:14">
      <c r="A58">
        <v>11</v>
      </c>
      <c r="B58">
        <v>2943.24</v>
      </c>
      <c r="C58">
        <v>735.81</v>
      </c>
      <c r="D58">
        <v>183.95</v>
      </c>
      <c r="E58">
        <v>200.92</v>
      </c>
      <c r="F58">
        <v>50</v>
      </c>
      <c r="G58">
        <v>38.47</v>
      </c>
      <c r="J58">
        <v>2638.87</v>
      </c>
      <c r="K58">
        <v>240</v>
      </c>
      <c r="L58">
        <v>12.64</v>
      </c>
      <c r="M58">
        <f t="shared" si="1"/>
        <v>7043.9000000000005</v>
      </c>
      <c r="N58">
        <f t="shared" si="2"/>
        <v>1461.7900000000009</v>
      </c>
    </row>
    <row r="59" spans="1:14">
      <c r="A59">
        <v>12</v>
      </c>
      <c r="B59">
        <v>2943.24</v>
      </c>
      <c r="C59">
        <v>735.81</v>
      </c>
      <c r="D59">
        <v>183.95</v>
      </c>
      <c r="E59">
        <v>200.92</v>
      </c>
      <c r="F59">
        <v>50</v>
      </c>
      <c r="G59">
        <v>38.47</v>
      </c>
      <c r="J59">
        <v>2458.75</v>
      </c>
      <c r="K59">
        <v>240</v>
      </c>
      <c r="L59">
        <v>12.64</v>
      </c>
      <c r="M59">
        <f t="shared" si="1"/>
        <v>6863.7800000000007</v>
      </c>
      <c r="N59">
        <f t="shared" si="2"/>
        <v>1461.7900000000009</v>
      </c>
    </row>
    <row r="60" spans="1:14">
      <c r="A60">
        <v>13</v>
      </c>
      <c r="B60">
        <v>2943.24</v>
      </c>
      <c r="C60">
        <v>735.81</v>
      </c>
      <c r="D60">
        <v>183.95</v>
      </c>
      <c r="E60">
        <v>200.92</v>
      </c>
      <c r="F60">
        <v>50</v>
      </c>
      <c r="G60">
        <v>38.47</v>
      </c>
      <c r="J60">
        <v>2278.62</v>
      </c>
      <c r="K60">
        <v>240</v>
      </c>
      <c r="L60">
        <v>12.64</v>
      </c>
      <c r="M60">
        <f t="shared" si="1"/>
        <v>6683.6500000000005</v>
      </c>
      <c r="N60">
        <f t="shared" si="2"/>
        <v>1461.7900000000009</v>
      </c>
    </row>
    <row r="61" spans="1:14">
      <c r="A61">
        <v>14</v>
      </c>
      <c r="B61">
        <v>2943.24</v>
      </c>
      <c r="C61">
        <v>735.81</v>
      </c>
      <c r="D61">
        <v>183.95</v>
      </c>
      <c r="E61">
        <v>200.92</v>
      </c>
      <c r="F61">
        <v>50</v>
      </c>
      <c r="G61">
        <v>38.47</v>
      </c>
      <c r="J61">
        <v>2094.87</v>
      </c>
      <c r="K61">
        <v>240</v>
      </c>
      <c r="L61">
        <v>12.64</v>
      </c>
      <c r="M61">
        <f t="shared" si="1"/>
        <v>6499.9000000000005</v>
      </c>
      <c r="N61">
        <f t="shared" si="2"/>
        <v>1461.7900000000009</v>
      </c>
    </row>
    <row r="62" spans="1:14">
      <c r="A62">
        <v>15</v>
      </c>
      <c r="B62">
        <v>2943.24</v>
      </c>
      <c r="C62">
        <v>735.81</v>
      </c>
      <c r="D62">
        <v>183.95</v>
      </c>
      <c r="E62">
        <v>200.92</v>
      </c>
      <c r="F62">
        <v>50</v>
      </c>
      <c r="G62">
        <v>38.47</v>
      </c>
      <c r="J62">
        <v>1904.72</v>
      </c>
      <c r="K62">
        <v>240</v>
      </c>
      <c r="M62">
        <f t="shared" si="1"/>
        <v>6297.1100000000006</v>
      </c>
      <c r="N62">
        <f t="shared" si="2"/>
        <v>1449.1500000000008</v>
      </c>
    </row>
    <row r="63" spans="1:14">
      <c r="A63">
        <v>16</v>
      </c>
      <c r="B63">
        <v>2943.24</v>
      </c>
      <c r="C63">
        <v>735.81</v>
      </c>
      <c r="D63">
        <v>183.95</v>
      </c>
      <c r="E63">
        <v>200.92</v>
      </c>
      <c r="F63">
        <v>50</v>
      </c>
      <c r="G63">
        <v>38.47</v>
      </c>
      <c r="J63">
        <v>1707.49</v>
      </c>
      <c r="K63">
        <v>240</v>
      </c>
      <c r="M63">
        <f t="shared" si="1"/>
        <v>6099.88</v>
      </c>
      <c r="N63">
        <f t="shared" si="2"/>
        <v>1449.1500000000003</v>
      </c>
    </row>
    <row r="64" spans="1:14">
      <c r="A64">
        <v>17</v>
      </c>
      <c r="B64">
        <v>2943.24</v>
      </c>
      <c r="C64">
        <v>735.81</v>
      </c>
      <c r="D64">
        <v>183.95</v>
      </c>
      <c r="E64">
        <v>200.92</v>
      </c>
      <c r="F64">
        <v>50</v>
      </c>
      <c r="G64">
        <v>38.47</v>
      </c>
      <c r="J64">
        <v>1503.4</v>
      </c>
      <c r="K64">
        <v>240</v>
      </c>
      <c r="M64">
        <f t="shared" si="1"/>
        <v>5895.7900000000009</v>
      </c>
      <c r="N64">
        <f t="shared" si="2"/>
        <v>1449.150000000001</v>
      </c>
    </row>
    <row r="65" spans="1:14">
      <c r="A65">
        <v>18</v>
      </c>
      <c r="B65">
        <v>2943.24</v>
      </c>
      <c r="C65">
        <v>735.81</v>
      </c>
      <c r="D65">
        <v>183.95</v>
      </c>
      <c r="E65">
        <v>200.92</v>
      </c>
      <c r="F65">
        <v>50</v>
      </c>
      <c r="G65">
        <v>38.47</v>
      </c>
      <c r="J65">
        <v>1292.18</v>
      </c>
      <c r="K65">
        <v>240</v>
      </c>
      <c r="M65">
        <f t="shared" si="1"/>
        <v>5684.5700000000006</v>
      </c>
      <c r="N65">
        <f t="shared" si="2"/>
        <v>1449.1500000000008</v>
      </c>
    </row>
    <row r="66" spans="1:14">
      <c r="A66">
        <v>19</v>
      </c>
      <c r="B66">
        <v>2943.24</v>
      </c>
      <c r="C66">
        <v>735.81</v>
      </c>
      <c r="D66">
        <v>183.95</v>
      </c>
      <c r="E66">
        <v>200.92</v>
      </c>
      <c r="F66">
        <v>50</v>
      </c>
      <c r="G66">
        <v>38.47</v>
      </c>
      <c r="J66">
        <v>1073.6099999999999</v>
      </c>
      <c r="K66">
        <v>240</v>
      </c>
      <c r="M66">
        <f t="shared" si="1"/>
        <v>5466</v>
      </c>
      <c r="N66">
        <f t="shared" si="2"/>
        <v>1449.1500000000003</v>
      </c>
    </row>
    <row r="67" spans="1:14">
      <c r="A67">
        <v>20</v>
      </c>
      <c r="B67">
        <v>2943.24</v>
      </c>
      <c r="C67">
        <v>735.81</v>
      </c>
      <c r="D67">
        <v>183.95</v>
      </c>
      <c r="E67">
        <v>200.92</v>
      </c>
      <c r="F67">
        <v>50</v>
      </c>
      <c r="G67">
        <v>38.47</v>
      </c>
      <c r="J67">
        <v>847.42</v>
      </c>
      <c r="K67">
        <v>240</v>
      </c>
      <c r="M67">
        <f t="shared" si="1"/>
        <v>5239.8100000000004</v>
      </c>
      <c r="N67">
        <f t="shared" si="2"/>
        <v>1449.1500000000005</v>
      </c>
    </row>
    <row r="68" spans="1:14">
      <c r="A68">
        <v>21</v>
      </c>
      <c r="B68">
        <v>2943.24</v>
      </c>
      <c r="C68">
        <v>735.81</v>
      </c>
      <c r="D68">
        <v>183.95</v>
      </c>
      <c r="E68">
        <v>200.92</v>
      </c>
      <c r="F68">
        <v>50</v>
      </c>
      <c r="G68">
        <v>38.47</v>
      </c>
      <c r="J68">
        <v>613.35</v>
      </c>
      <c r="K68">
        <v>240</v>
      </c>
      <c r="M68">
        <f t="shared" si="1"/>
        <v>5005.7400000000007</v>
      </c>
      <c r="N68">
        <f t="shared" si="2"/>
        <v>1449.150000000001</v>
      </c>
    </row>
    <row r="69" spans="1:14">
      <c r="A69">
        <v>22</v>
      </c>
      <c r="B69">
        <v>2943.24</v>
      </c>
      <c r="C69">
        <v>735.81</v>
      </c>
      <c r="D69">
        <v>183.95</v>
      </c>
      <c r="E69">
        <v>200.92</v>
      </c>
      <c r="F69">
        <v>50</v>
      </c>
      <c r="G69">
        <v>38.47</v>
      </c>
      <c r="J69">
        <v>371.12</v>
      </c>
      <c r="K69">
        <v>240</v>
      </c>
      <c r="M69">
        <f t="shared" si="1"/>
        <v>4763.51</v>
      </c>
      <c r="N69">
        <f t="shared" si="2"/>
        <v>1449.1500000000005</v>
      </c>
    </row>
    <row r="70" spans="1:14">
      <c r="A70">
        <v>23</v>
      </c>
      <c r="B70">
        <v>2943.24</v>
      </c>
      <c r="C70">
        <v>735.81</v>
      </c>
      <c r="D70">
        <v>183.95</v>
      </c>
      <c r="E70">
        <v>200.92</v>
      </c>
      <c r="F70">
        <v>50</v>
      </c>
      <c r="G70">
        <v>38.47</v>
      </c>
      <c r="J70">
        <v>120.44</v>
      </c>
      <c r="K70">
        <v>240</v>
      </c>
      <c r="M70">
        <f t="shared" si="1"/>
        <v>4512.83</v>
      </c>
      <c r="N70">
        <f t="shared" si="2"/>
        <v>1449.15</v>
      </c>
    </row>
    <row r="71" spans="1:14">
      <c r="A71">
        <v>24</v>
      </c>
      <c r="B71">
        <v>2943.24</v>
      </c>
      <c r="C71">
        <v>735.81</v>
      </c>
      <c r="D71">
        <v>183.95</v>
      </c>
      <c r="E71">
        <v>200.92</v>
      </c>
      <c r="F71">
        <v>50</v>
      </c>
      <c r="G71">
        <v>38.47</v>
      </c>
      <c r="J71">
        <v>3.91</v>
      </c>
      <c r="K71">
        <v>240</v>
      </c>
      <c r="M71">
        <f t="shared" si="1"/>
        <v>4396.3</v>
      </c>
      <c r="N71">
        <f t="shared" si="2"/>
        <v>1449.1500000000003</v>
      </c>
    </row>
    <row r="72" spans="1:14">
      <c r="A72">
        <v>25</v>
      </c>
      <c r="B72">
        <v>2943.24</v>
      </c>
      <c r="C72">
        <v>735.81</v>
      </c>
      <c r="D72">
        <v>183.95</v>
      </c>
      <c r="E72">
        <v>200.92</v>
      </c>
      <c r="F72">
        <v>50</v>
      </c>
      <c r="G72">
        <v>38.47</v>
      </c>
      <c r="J72">
        <v>3.91</v>
      </c>
      <c r="K72">
        <v>240</v>
      </c>
      <c r="M72">
        <f t="shared" si="1"/>
        <v>4396.3</v>
      </c>
      <c r="N72">
        <f t="shared" si="2"/>
        <v>1449.1500000000003</v>
      </c>
    </row>
    <row r="73" spans="1:14">
      <c r="A73">
        <v>26</v>
      </c>
      <c r="B73">
        <v>2943.24</v>
      </c>
      <c r="C73">
        <v>735.81</v>
      </c>
      <c r="D73">
        <v>183.95</v>
      </c>
      <c r="E73">
        <v>200.92</v>
      </c>
      <c r="F73">
        <v>50</v>
      </c>
      <c r="G73">
        <v>38.47</v>
      </c>
      <c r="J73">
        <v>3.91</v>
      </c>
      <c r="K73">
        <v>240</v>
      </c>
      <c r="M73">
        <f t="shared" si="1"/>
        <v>4396.3</v>
      </c>
      <c r="N73">
        <f t="shared" si="2"/>
        <v>1449.1500000000003</v>
      </c>
    </row>
    <row r="74" spans="1:14">
      <c r="A74">
        <v>27</v>
      </c>
      <c r="B74">
        <v>2943.24</v>
      </c>
      <c r="C74">
        <v>735.81</v>
      </c>
      <c r="D74">
        <v>183.95</v>
      </c>
      <c r="E74">
        <v>200.92</v>
      </c>
      <c r="F74">
        <v>50</v>
      </c>
      <c r="G74">
        <v>38.47</v>
      </c>
      <c r="J74">
        <v>3.91</v>
      </c>
      <c r="K74">
        <v>240</v>
      </c>
      <c r="M74">
        <f t="shared" si="1"/>
        <v>4396.3</v>
      </c>
      <c r="N74">
        <f t="shared" si="2"/>
        <v>1449.1500000000003</v>
      </c>
    </row>
    <row r="75" spans="1:14">
      <c r="A75">
        <v>28</v>
      </c>
      <c r="B75">
        <v>2943.24</v>
      </c>
      <c r="C75">
        <v>735.81</v>
      </c>
      <c r="D75">
        <v>183.95</v>
      </c>
      <c r="E75">
        <v>200.92</v>
      </c>
      <c r="F75">
        <v>50</v>
      </c>
      <c r="G75">
        <v>38.47</v>
      </c>
      <c r="J75">
        <v>3.91</v>
      </c>
      <c r="K75">
        <v>240</v>
      </c>
      <c r="M75">
        <f t="shared" si="1"/>
        <v>4396.3</v>
      </c>
      <c r="N75">
        <f t="shared" si="2"/>
        <v>1449.1500000000003</v>
      </c>
    </row>
    <row r="76" spans="1:14">
      <c r="A76">
        <v>29</v>
      </c>
      <c r="B76">
        <v>2943.24</v>
      </c>
      <c r="C76">
        <v>735.81</v>
      </c>
      <c r="D76">
        <v>183.95</v>
      </c>
      <c r="E76">
        <v>200.92</v>
      </c>
      <c r="F76">
        <v>50</v>
      </c>
      <c r="G76">
        <v>38.47</v>
      </c>
      <c r="J76">
        <v>3.91</v>
      </c>
      <c r="K76">
        <v>240</v>
      </c>
      <c r="M76">
        <f t="shared" si="1"/>
        <v>4396.3</v>
      </c>
      <c r="N76">
        <f t="shared" si="2"/>
        <v>1449.1500000000003</v>
      </c>
    </row>
    <row r="77" spans="1:14">
      <c r="A77">
        <v>30</v>
      </c>
      <c r="B77">
        <v>1839.5</v>
      </c>
      <c r="C77">
        <v>735.81</v>
      </c>
      <c r="D77">
        <v>183.95</v>
      </c>
      <c r="E77">
        <v>200.92</v>
      </c>
      <c r="F77">
        <v>50</v>
      </c>
      <c r="G77">
        <v>38.47</v>
      </c>
      <c r="J77">
        <v>3.91</v>
      </c>
      <c r="K77">
        <v>240</v>
      </c>
      <c r="M77">
        <f t="shared" si="1"/>
        <v>3292.5599999999995</v>
      </c>
      <c r="N77">
        <f t="shared" si="2"/>
        <v>1449.1499999999994</v>
      </c>
    </row>
    <row r="78" spans="1:14">
      <c r="A78">
        <v>31</v>
      </c>
      <c r="C78">
        <v>735.81</v>
      </c>
      <c r="D78">
        <v>183.95</v>
      </c>
      <c r="E78">
        <v>200.92</v>
      </c>
      <c r="F78">
        <v>50</v>
      </c>
      <c r="G78">
        <v>38.47</v>
      </c>
      <c r="J78">
        <v>3.91</v>
      </c>
      <c r="K78">
        <v>240</v>
      </c>
      <c r="M78">
        <f t="shared" si="1"/>
        <v>1453.0600000000002</v>
      </c>
      <c r="N78">
        <f t="shared" si="2"/>
        <v>1449.15</v>
      </c>
    </row>
    <row r="79" spans="1:14">
      <c r="A79">
        <v>32</v>
      </c>
      <c r="C79">
        <v>735.81</v>
      </c>
      <c r="D79">
        <v>183.95</v>
      </c>
      <c r="E79">
        <v>200.92</v>
      </c>
      <c r="F79">
        <v>50</v>
      </c>
      <c r="G79">
        <v>38.47</v>
      </c>
      <c r="J79">
        <v>3.91</v>
      </c>
      <c r="K79">
        <v>240</v>
      </c>
      <c r="M79">
        <f t="shared" si="1"/>
        <v>1453.0600000000002</v>
      </c>
      <c r="N79">
        <f t="shared" si="2"/>
        <v>1449.15</v>
      </c>
    </row>
    <row r="80" spans="1:14">
      <c r="A80">
        <v>33</v>
      </c>
      <c r="C80">
        <v>735.81</v>
      </c>
      <c r="D80">
        <v>183.95</v>
      </c>
      <c r="E80">
        <v>200.92</v>
      </c>
      <c r="F80">
        <v>50</v>
      </c>
      <c r="G80">
        <v>38.47</v>
      </c>
      <c r="J80">
        <v>3.91</v>
      </c>
      <c r="K80">
        <v>240</v>
      </c>
      <c r="M80">
        <f t="shared" si="1"/>
        <v>1453.0600000000002</v>
      </c>
      <c r="N80">
        <f t="shared" si="2"/>
        <v>1449.15</v>
      </c>
    </row>
    <row r="81" spans="1:16">
      <c r="A81">
        <v>34</v>
      </c>
      <c r="C81">
        <v>735.81</v>
      </c>
      <c r="D81">
        <v>183.95</v>
      </c>
      <c r="E81">
        <v>200.92</v>
      </c>
      <c r="F81">
        <v>50</v>
      </c>
      <c r="G81">
        <v>38.47</v>
      </c>
      <c r="J81">
        <v>3.91</v>
      </c>
      <c r="K81">
        <v>240</v>
      </c>
      <c r="M81">
        <f t="shared" si="1"/>
        <v>1453.0600000000002</v>
      </c>
      <c r="N81">
        <f t="shared" si="2"/>
        <v>1449.15</v>
      </c>
    </row>
    <row r="82" spans="1:16">
      <c r="A82">
        <v>35</v>
      </c>
      <c r="C82">
        <v>735.81</v>
      </c>
      <c r="D82">
        <v>183.95</v>
      </c>
      <c r="E82">
        <v>200.92</v>
      </c>
      <c r="F82">
        <v>50</v>
      </c>
      <c r="G82">
        <v>38.47</v>
      </c>
      <c r="J82">
        <v>3.91</v>
      </c>
      <c r="K82">
        <v>240</v>
      </c>
      <c r="M82">
        <f t="shared" si="1"/>
        <v>1453.0600000000002</v>
      </c>
      <c r="N82">
        <f t="shared" si="2"/>
        <v>1449.15</v>
      </c>
    </row>
    <row r="83" spans="1:16">
      <c r="B83">
        <f>SUM(B52:B82)</f>
        <v>73580.987599999979</v>
      </c>
      <c r="C83">
        <f>SUM(C52:C82)</f>
        <v>22350.229400000004</v>
      </c>
      <c r="D83">
        <f t="shared" ref="D83:N83" si="3">SUM(D52:D82)</f>
        <v>5587.4823499999966</v>
      </c>
      <c r="E83">
        <f t="shared" si="3"/>
        <v>6102.9500000000016</v>
      </c>
      <c r="F83">
        <f t="shared" si="3"/>
        <v>1550</v>
      </c>
      <c r="G83">
        <f t="shared" si="3"/>
        <v>1168.5300000000007</v>
      </c>
      <c r="J83">
        <f t="shared" si="3"/>
        <v>35912.890000000043</v>
      </c>
      <c r="K83">
        <f t="shared" si="3"/>
        <v>7440</v>
      </c>
      <c r="L83">
        <f t="shared" si="3"/>
        <v>126.4</v>
      </c>
      <c r="M83">
        <f t="shared" si="3"/>
        <v>153819.46934999997</v>
      </c>
      <c r="N83">
        <f t="shared" si="3"/>
        <v>44325.591750000036</v>
      </c>
    </row>
    <row r="86" spans="1:16">
      <c r="A86" s="43" t="s">
        <v>111</v>
      </c>
      <c r="B86" s="43"/>
      <c r="C86" s="43"/>
      <c r="D86" s="43"/>
      <c r="E86" s="43"/>
      <c r="F86" s="43"/>
    </row>
    <row r="88" spans="1:16">
      <c r="B88" t="s">
        <v>14</v>
      </c>
      <c r="C88" t="s">
        <v>15</v>
      </c>
      <c r="D88" t="s">
        <v>16</v>
      </c>
      <c r="E88" t="s">
        <v>17</v>
      </c>
      <c r="F88" t="s">
        <v>12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26</v>
      </c>
    </row>
    <row r="89" spans="1:16">
      <c r="A89">
        <v>1</v>
      </c>
    </row>
    <row r="90" spans="1:16">
      <c r="A90">
        <v>2</v>
      </c>
    </row>
    <row r="91" spans="1:16">
      <c r="A91">
        <v>3</v>
      </c>
    </row>
    <row r="92" spans="1:16">
      <c r="A92">
        <v>4</v>
      </c>
    </row>
    <row r="93" spans="1:16">
      <c r="A93">
        <v>5</v>
      </c>
      <c r="B93">
        <v>0.21290000000000001</v>
      </c>
      <c r="C93">
        <v>3072.37</v>
      </c>
      <c r="D93" s="2">
        <f xml:space="preserve"> C93*0.17*0.05</f>
        <v>26.115145000000002</v>
      </c>
      <c r="E93" s="2">
        <f xml:space="preserve"> C93*0.17*0.03</f>
        <v>15.669086999999999</v>
      </c>
      <c r="F93" s="2">
        <f>SUM(D93:E93)</f>
        <v>41.784232000000003</v>
      </c>
      <c r="G93">
        <f>M52</f>
        <v>2905.9199999999996</v>
      </c>
      <c r="H93" s="2">
        <f xml:space="preserve"> C93-D93-E93-G93</f>
        <v>124.66576799999984</v>
      </c>
      <c r="K93" s="2">
        <f>H93</f>
        <v>124.66576799999984</v>
      </c>
      <c r="L93" s="3">
        <f>K93*0.15</f>
        <v>18.699865199999977</v>
      </c>
      <c r="M93" s="2">
        <f>K93-L93</f>
        <v>105.96590279999987</v>
      </c>
      <c r="N93">
        <v>105.96</v>
      </c>
      <c r="P93" s="3"/>
    </row>
    <row r="94" spans="1:16">
      <c r="A94">
        <v>6</v>
      </c>
      <c r="B94">
        <v>0.21290000000000001</v>
      </c>
      <c r="C94">
        <v>8192.84</v>
      </c>
      <c r="D94" s="2">
        <f xml:space="preserve"> C94*0.17*0.05</f>
        <v>69.639140000000012</v>
      </c>
      <c r="E94" s="2">
        <f xml:space="preserve"> C94*0.17*0.03</f>
        <v>41.783484000000001</v>
      </c>
      <c r="F94" s="2">
        <f>SUM(D94:E94)</f>
        <v>111.42262400000001</v>
      </c>
      <c r="G94">
        <f t="shared" ref="G94:G123" si="4">M53</f>
        <v>7944.5393500000009</v>
      </c>
      <c r="H94" s="2">
        <f xml:space="preserve"> C94-D94-E94-G94</f>
        <v>136.87802599999941</v>
      </c>
      <c r="K94" s="2">
        <f>H94</f>
        <v>136.87802599999941</v>
      </c>
      <c r="L94" s="3">
        <f>K94*0.15</f>
        <v>20.531703899999911</v>
      </c>
      <c r="M94" s="2">
        <f t="shared" ref="M94:M123" si="5">K94-L94</f>
        <v>116.3463220999995</v>
      </c>
      <c r="N94">
        <v>116.35</v>
      </c>
      <c r="P94" s="3"/>
    </row>
    <row r="95" spans="1:16">
      <c r="A95">
        <v>7</v>
      </c>
      <c r="B95">
        <v>0.21290000000000001</v>
      </c>
      <c r="C95">
        <v>8192.84</v>
      </c>
      <c r="D95" s="2">
        <f t="shared" ref="D95:D123" si="6" xml:space="preserve"> C95*0.17*0.05</f>
        <v>69.639140000000012</v>
      </c>
      <c r="E95" s="2">
        <f t="shared" ref="E95:E123" si="7" xml:space="preserve"> C95*0.17*0.03</f>
        <v>41.783484000000001</v>
      </c>
      <c r="F95" s="2">
        <f t="shared" ref="F95:F123" si="8">SUM(D95:E95)</f>
        <v>111.42262400000001</v>
      </c>
      <c r="G95">
        <f t="shared" si="4"/>
        <v>7764.4100000000008</v>
      </c>
      <c r="H95" s="2">
        <f t="shared" ref="H95:H123" si="9" xml:space="preserve"> C95-D95-E95-G95</f>
        <v>317.00737599999957</v>
      </c>
      <c r="J95" s="2">
        <f xml:space="preserve"> H95*0.33/2</f>
        <v>52.306217039999929</v>
      </c>
      <c r="K95" s="2">
        <f>H95-J95</f>
        <v>264.70115895999965</v>
      </c>
      <c r="L95" s="3">
        <f t="shared" ref="L95:L123" si="10">K95*0.15</f>
        <v>39.705173843999944</v>
      </c>
      <c r="M95" s="2">
        <f t="shared" si="5"/>
        <v>224.9959851159997</v>
      </c>
      <c r="N95">
        <v>224.99</v>
      </c>
      <c r="P95" s="3"/>
    </row>
    <row r="96" spans="1:16">
      <c r="A96">
        <v>8</v>
      </c>
      <c r="B96">
        <v>0.21290000000000001</v>
      </c>
      <c r="C96">
        <v>8192.84</v>
      </c>
      <c r="D96" s="2">
        <f t="shared" si="6"/>
        <v>69.639140000000012</v>
      </c>
      <c r="E96" s="2">
        <f t="shared" si="7"/>
        <v>41.783484000000001</v>
      </c>
      <c r="F96" s="2">
        <f t="shared" si="8"/>
        <v>111.42262400000001</v>
      </c>
      <c r="G96">
        <f t="shared" si="4"/>
        <v>7584.2800000000007</v>
      </c>
      <c r="H96" s="2">
        <f t="shared" si="9"/>
        <v>497.13737599999968</v>
      </c>
      <c r="J96" s="2">
        <f xml:space="preserve"> H96*0.33/2</f>
        <v>82.027667039999955</v>
      </c>
      <c r="K96" s="2">
        <f t="shared" ref="K96:K123" si="11">H96-J96</f>
        <v>415.10970895999969</v>
      </c>
      <c r="L96" s="3">
        <f t="shared" si="10"/>
        <v>62.266456343999948</v>
      </c>
      <c r="M96" s="2">
        <f>K96-L96</f>
        <v>352.84325261599975</v>
      </c>
      <c r="N96">
        <v>352.84</v>
      </c>
      <c r="P96" s="3"/>
    </row>
    <row r="97" spans="1:16">
      <c r="A97">
        <v>9</v>
      </c>
      <c r="B97">
        <v>0.21290000000000001</v>
      </c>
      <c r="C97">
        <v>8192.84</v>
      </c>
      <c r="D97" s="2">
        <f t="shared" si="6"/>
        <v>69.639140000000012</v>
      </c>
      <c r="E97" s="2">
        <f t="shared" si="7"/>
        <v>41.783484000000001</v>
      </c>
      <c r="F97" s="2">
        <f t="shared" si="8"/>
        <v>111.42262400000001</v>
      </c>
      <c r="G97">
        <f t="shared" si="4"/>
        <v>7404.1600000000008</v>
      </c>
      <c r="H97" s="2">
        <f t="shared" si="9"/>
        <v>677.25737599999957</v>
      </c>
      <c r="J97" s="2">
        <f xml:space="preserve"> H97*0.33/2</f>
        <v>111.74746703999993</v>
      </c>
      <c r="K97" s="2">
        <f t="shared" si="11"/>
        <v>565.50990895999962</v>
      </c>
      <c r="L97" s="3">
        <f t="shared" si="10"/>
        <v>84.826486343999946</v>
      </c>
      <c r="M97" s="2">
        <f t="shared" si="5"/>
        <v>480.68342261599969</v>
      </c>
      <c r="N97">
        <v>480.68</v>
      </c>
      <c r="P97" s="3"/>
    </row>
    <row r="98" spans="1:16">
      <c r="A98">
        <v>10</v>
      </c>
      <c r="B98">
        <v>0.21290000000000001</v>
      </c>
      <c r="C98">
        <v>8192.84</v>
      </c>
      <c r="D98" s="2">
        <f t="shared" si="6"/>
        <v>69.639140000000012</v>
      </c>
      <c r="E98" s="2">
        <f t="shared" si="7"/>
        <v>41.783484000000001</v>
      </c>
      <c r="F98" s="2">
        <f t="shared" si="8"/>
        <v>111.42262400000001</v>
      </c>
      <c r="G98">
        <f t="shared" si="4"/>
        <v>7224.0300000000007</v>
      </c>
      <c r="H98" s="2">
        <f t="shared" si="9"/>
        <v>857.38737599999968</v>
      </c>
      <c r="J98" s="2">
        <f xml:space="preserve"> H98*0.33</f>
        <v>282.9378340799999</v>
      </c>
      <c r="K98" s="2">
        <f t="shared" si="11"/>
        <v>574.44954191999977</v>
      </c>
      <c r="L98" s="3">
        <f t="shared" si="10"/>
        <v>86.16743128799996</v>
      </c>
      <c r="M98" s="2">
        <f t="shared" si="5"/>
        <v>488.28211063199979</v>
      </c>
      <c r="N98">
        <v>488.28</v>
      </c>
      <c r="P98" s="3"/>
    </row>
    <row r="99" spans="1:16">
      <c r="A99">
        <v>11</v>
      </c>
      <c r="B99">
        <v>0.21290000000000001</v>
      </c>
      <c r="C99">
        <v>8192.84</v>
      </c>
      <c r="D99" s="2">
        <f t="shared" si="6"/>
        <v>69.639140000000012</v>
      </c>
      <c r="E99" s="2">
        <f t="shared" si="7"/>
        <v>41.783484000000001</v>
      </c>
      <c r="F99" s="2">
        <f t="shared" si="8"/>
        <v>111.42262400000001</v>
      </c>
      <c r="G99">
        <f t="shared" si="4"/>
        <v>7043.9000000000005</v>
      </c>
      <c r="H99" s="2">
        <f t="shared" si="9"/>
        <v>1037.5173759999998</v>
      </c>
      <c r="J99" s="2">
        <f xml:space="preserve"> H99*0.33</f>
        <v>342.38073407999997</v>
      </c>
      <c r="K99" s="2">
        <f t="shared" si="11"/>
        <v>695.13664191999987</v>
      </c>
      <c r="L99" s="3">
        <f t="shared" si="10"/>
        <v>104.27049628799998</v>
      </c>
      <c r="M99" s="2">
        <f t="shared" si="5"/>
        <v>590.86614563199987</v>
      </c>
      <c r="N99">
        <v>590.86</v>
      </c>
      <c r="P99" s="3"/>
    </row>
    <row r="100" spans="1:16">
      <c r="A100">
        <v>12</v>
      </c>
      <c r="B100">
        <v>0.21290000000000001</v>
      </c>
      <c r="C100">
        <v>8192.84</v>
      </c>
      <c r="D100" s="2">
        <f t="shared" si="6"/>
        <v>69.639140000000012</v>
      </c>
      <c r="E100" s="2">
        <f t="shared" si="7"/>
        <v>41.783484000000001</v>
      </c>
      <c r="F100" s="2">
        <f t="shared" si="8"/>
        <v>111.42262400000001</v>
      </c>
      <c r="G100">
        <f t="shared" si="4"/>
        <v>6863.7800000000007</v>
      </c>
      <c r="H100" s="2">
        <f t="shared" si="9"/>
        <v>1217.6373759999997</v>
      </c>
      <c r="J100" s="2">
        <f t="shared" ref="J100:J123" si="12" xml:space="preserve"> H100*0.33</f>
        <v>401.8203340799999</v>
      </c>
      <c r="K100" s="2">
        <f t="shared" si="11"/>
        <v>815.81704191999984</v>
      </c>
      <c r="L100" s="3">
        <f t="shared" si="10"/>
        <v>122.37255628799997</v>
      </c>
      <c r="M100" s="2">
        <f t="shared" si="5"/>
        <v>693.4444856319999</v>
      </c>
      <c r="N100">
        <v>693.44</v>
      </c>
      <c r="P100" s="3"/>
    </row>
    <row r="101" spans="1:16">
      <c r="A101">
        <v>13</v>
      </c>
      <c r="B101">
        <v>0.21290000000000001</v>
      </c>
      <c r="C101">
        <v>8192.84</v>
      </c>
      <c r="D101" s="2">
        <f t="shared" si="6"/>
        <v>69.639140000000012</v>
      </c>
      <c r="E101" s="2">
        <f t="shared" si="7"/>
        <v>41.783484000000001</v>
      </c>
      <c r="F101" s="2">
        <f t="shared" si="8"/>
        <v>111.42262400000001</v>
      </c>
      <c r="G101">
        <f t="shared" si="4"/>
        <v>6683.6500000000005</v>
      </c>
      <c r="H101" s="2">
        <f t="shared" si="9"/>
        <v>1397.7673759999998</v>
      </c>
      <c r="J101" s="2">
        <f t="shared" si="12"/>
        <v>461.26323407999996</v>
      </c>
      <c r="K101" s="2">
        <f t="shared" si="11"/>
        <v>936.50414191999982</v>
      </c>
      <c r="L101" s="3">
        <f t="shared" si="10"/>
        <v>140.47562128799996</v>
      </c>
      <c r="M101" s="2">
        <f t="shared" si="5"/>
        <v>796.02852063199987</v>
      </c>
      <c r="N101">
        <v>736.8</v>
      </c>
      <c r="O101">
        <v>59.23</v>
      </c>
      <c r="P101" s="3"/>
    </row>
    <row r="102" spans="1:16">
      <c r="A102">
        <v>14</v>
      </c>
      <c r="B102">
        <v>0.21290000000000001</v>
      </c>
      <c r="C102">
        <v>8192.84</v>
      </c>
      <c r="D102" s="2">
        <f t="shared" si="6"/>
        <v>69.639140000000012</v>
      </c>
      <c r="E102" s="2">
        <f t="shared" si="7"/>
        <v>41.783484000000001</v>
      </c>
      <c r="F102" s="2">
        <f t="shared" si="8"/>
        <v>111.42262400000001</v>
      </c>
      <c r="G102">
        <f t="shared" si="4"/>
        <v>6499.9000000000005</v>
      </c>
      <c r="H102" s="2">
        <f t="shared" si="9"/>
        <v>1581.5173759999998</v>
      </c>
      <c r="J102" s="2">
        <f t="shared" si="12"/>
        <v>521.90073408000001</v>
      </c>
      <c r="K102" s="2">
        <f t="shared" si="11"/>
        <v>1059.6166419199999</v>
      </c>
      <c r="L102" s="3">
        <f t="shared" si="10"/>
        <v>158.94249628799997</v>
      </c>
      <c r="M102" s="2">
        <f t="shared" si="5"/>
        <v>900.67414563199986</v>
      </c>
      <c r="N102">
        <v>736.8</v>
      </c>
      <c r="O102">
        <v>163.87</v>
      </c>
      <c r="P102" s="3"/>
    </row>
    <row r="103" spans="1:16">
      <c r="A103">
        <v>15</v>
      </c>
      <c r="B103">
        <v>0.21290000000000001</v>
      </c>
      <c r="C103">
        <v>8192.84</v>
      </c>
      <c r="D103" s="2">
        <f t="shared" si="6"/>
        <v>69.639140000000012</v>
      </c>
      <c r="E103" s="2">
        <f t="shared" si="7"/>
        <v>41.783484000000001</v>
      </c>
      <c r="F103" s="2">
        <f t="shared" si="8"/>
        <v>111.42262400000001</v>
      </c>
      <c r="G103">
        <f t="shared" si="4"/>
        <v>6297.1100000000006</v>
      </c>
      <c r="H103" s="2">
        <f t="shared" si="9"/>
        <v>1784.3073759999997</v>
      </c>
      <c r="J103" s="2">
        <f t="shared" si="12"/>
        <v>588.8214340799999</v>
      </c>
      <c r="K103" s="2">
        <f t="shared" si="11"/>
        <v>1195.4859419199997</v>
      </c>
      <c r="L103" s="3">
        <f t="shared" si="10"/>
        <v>179.32289128799997</v>
      </c>
      <c r="M103" s="2">
        <f t="shared" si="5"/>
        <v>1016.1630506319998</v>
      </c>
      <c r="N103">
        <v>736.8</v>
      </c>
      <c r="O103">
        <v>279.37</v>
      </c>
      <c r="P103" s="3"/>
    </row>
    <row r="104" spans="1:16">
      <c r="A104">
        <v>16</v>
      </c>
      <c r="B104">
        <v>0.21290000000000001</v>
      </c>
      <c r="C104">
        <v>8192.84</v>
      </c>
      <c r="D104" s="2">
        <f t="shared" si="6"/>
        <v>69.639140000000012</v>
      </c>
      <c r="E104" s="2">
        <f t="shared" si="7"/>
        <v>41.783484000000001</v>
      </c>
      <c r="F104" s="2">
        <f t="shared" si="8"/>
        <v>111.42262400000001</v>
      </c>
      <c r="G104">
        <f t="shared" si="4"/>
        <v>6099.88</v>
      </c>
      <c r="H104" s="2">
        <f t="shared" si="9"/>
        <v>1981.5373760000002</v>
      </c>
      <c r="J104" s="2">
        <f t="shared" si="12"/>
        <v>653.90733408000006</v>
      </c>
      <c r="K104" s="2">
        <f t="shared" si="11"/>
        <v>1327.6300419200002</v>
      </c>
      <c r="L104" s="3">
        <f t="shared" si="10"/>
        <v>199.14450628800003</v>
      </c>
      <c r="M104" s="2">
        <f t="shared" si="5"/>
        <v>1128.4855356320002</v>
      </c>
      <c r="N104">
        <v>736.8</v>
      </c>
      <c r="O104">
        <v>391.68</v>
      </c>
      <c r="P104" s="3"/>
    </row>
    <row r="105" spans="1:16">
      <c r="A105">
        <v>17</v>
      </c>
      <c r="B105">
        <v>0.21290000000000001</v>
      </c>
      <c r="C105">
        <v>8192.84</v>
      </c>
      <c r="D105" s="2">
        <f t="shared" si="6"/>
        <v>69.639140000000012</v>
      </c>
      <c r="E105" s="2">
        <f t="shared" si="7"/>
        <v>41.783484000000001</v>
      </c>
      <c r="F105" s="2">
        <f t="shared" si="8"/>
        <v>111.42262400000001</v>
      </c>
      <c r="G105">
        <f t="shared" si="4"/>
        <v>5895.7900000000009</v>
      </c>
      <c r="H105" s="2">
        <f t="shared" si="9"/>
        <v>2185.6273759999995</v>
      </c>
      <c r="J105" s="2">
        <f t="shared" si="12"/>
        <v>721.25703407999981</v>
      </c>
      <c r="K105" s="2">
        <f t="shared" si="11"/>
        <v>1464.3703419199996</v>
      </c>
      <c r="L105" s="3">
        <f t="shared" si="10"/>
        <v>219.65555128799994</v>
      </c>
      <c r="M105" s="2">
        <f t="shared" si="5"/>
        <v>1244.7147906319997</v>
      </c>
      <c r="N105">
        <v>736.8</v>
      </c>
      <c r="O105">
        <v>507.92</v>
      </c>
      <c r="P105" s="3"/>
    </row>
    <row r="106" spans="1:16">
      <c r="A106">
        <v>18</v>
      </c>
      <c r="B106">
        <v>0.21290000000000001</v>
      </c>
      <c r="C106">
        <v>8192.84</v>
      </c>
      <c r="D106" s="2">
        <f t="shared" si="6"/>
        <v>69.639140000000012</v>
      </c>
      <c r="E106" s="2">
        <f t="shared" si="7"/>
        <v>41.783484000000001</v>
      </c>
      <c r="F106" s="2">
        <f t="shared" si="8"/>
        <v>111.42262400000001</v>
      </c>
      <c r="G106">
        <f t="shared" si="4"/>
        <v>5684.5700000000006</v>
      </c>
      <c r="H106" s="2">
        <f t="shared" si="9"/>
        <v>2396.8473759999997</v>
      </c>
      <c r="J106" s="2">
        <f t="shared" si="12"/>
        <v>790.95963407999989</v>
      </c>
      <c r="K106" s="2">
        <f t="shared" si="11"/>
        <v>1605.8877419199998</v>
      </c>
      <c r="L106" s="3">
        <f t="shared" si="10"/>
        <v>240.88316128799997</v>
      </c>
      <c r="M106" s="2">
        <f t="shared" si="5"/>
        <v>1365.0045806319999</v>
      </c>
      <c r="N106">
        <v>736.8</v>
      </c>
      <c r="O106">
        <v>628.20000000000005</v>
      </c>
      <c r="P106" s="3"/>
    </row>
    <row r="107" spans="1:16">
      <c r="A107">
        <v>19</v>
      </c>
      <c r="B107">
        <v>0.21290000000000001</v>
      </c>
      <c r="C107">
        <v>8192.84</v>
      </c>
      <c r="D107" s="2">
        <f t="shared" si="6"/>
        <v>69.639140000000012</v>
      </c>
      <c r="E107" s="2">
        <f t="shared" si="7"/>
        <v>41.783484000000001</v>
      </c>
      <c r="F107" s="2">
        <f t="shared" si="8"/>
        <v>111.42262400000001</v>
      </c>
      <c r="G107">
        <f t="shared" si="4"/>
        <v>5466</v>
      </c>
      <c r="H107" s="2">
        <f t="shared" si="9"/>
        <v>2615.4173760000003</v>
      </c>
      <c r="J107" s="2">
        <f t="shared" si="12"/>
        <v>863.08773408000013</v>
      </c>
      <c r="K107" s="2">
        <f t="shared" si="11"/>
        <v>1752.3296419200001</v>
      </c>
      <c r="L107" s="3">
        <f t="shared" si="10"/>
        <v>262.84944628800002</v>
      </c>
      <c r="M107" s="2">
        <f t="shared" si="5"/>
        <v>1489.480195632</v>
      </c>
      <c r="N107">
        <v>736.8</v>
      </c>
      <c r="O107">
        <v>752.68</v>
      </c>
      <c r="P107" s="3"/>
    </row>
    <row r="108" spans="1:16">
      <c r="A108">
        <v>20</v>
      </c>
      <c r="B108">
        <v>0.21290000000000001</v>
      </c>
      <c r="C108">
        <v>8192.84</v>
      </c>
      <c r="D108" s="2">
        <f t="shared" si="6"/>
        <v>69.639140000000012</v>
      </c>
      <c r="E108" s="2">
        <f t="shared" si="7"/>
        <v>41.783484000000001</v>
      </c>
      <c r="F108" s="2">
        <f t="shared" si="8"/>
        <v>111.42262400000001</v>
      </c>
      <c r="G108">
        <f t="shared" si="4"/>
        <v>5239.8100000000004</v>
      </c>
      <c r="H108" s="2">
        <f t="shared" si="9"/>
        <v>2841.6073759999999</v>
      </c>
      <c r="J108" s="2">
        <f t="shared" si="12"/>
        <v>937.73043408000001</v>
      </c>
      <c r="K108" s="2">
        <f t="shared" si="11"/>
        <v>1903.8769419199998</v>
      </c>
      <c r="L108" s="3">
        <f t="shared" si="10"/>
        <v>285.58154128799998</v>
      </c>
      <c r="M108" s="2">
        <f t="shared" si="5"/>
        <v>1618.2954006319999</v>
      </c>
      <c r="N108">
        <v>736.8</v>
      </c>
      <c r="O108">
        <v>881.49</v>
      </c>
      <c r="P108" s="3"/>
    </row>
    <row r="109" spans="1:16">
      <c r="A109">
        <v>21</v>
      </c>
      <c r="B109">
        <v>0.21290000000000001</v>
      </c>
      <c r="C109">
        <v>8192.84</v>
      </c>
      <c r="D109" s="2">
        <f t="shared" si="6"/>
        <v>69.639140000000012</v>
      </c>
      <c r="E109" s="2">
        <f t="shared" si="7"/>
        <v>41.783484000000001</v>
      </c>
      <c r="F109" s="2">
        <f t="shared" si="8"/>
        <v>111.42262400000001</v>
      </c>
      <c r="G109">
        <f t="shared" si="4"/>
        <v>5005.7400000000007</v>
      </c>
      <c r="H109" s="2">
        <f t="shared" si="9"/>
        <v>3075.6773759999996</v>
      </c>
      <c r="J109" s="2">
        <f t="shared" si="12"/>
        <v>1014.9735340799999</v>
      </c>
      <c r="K109" s="2">
        <f t="shared" si="11"/>
        <v>2060.7038419199998</v>
      </c>
      <c r="L109" s="3">
        <f t="shared" si="10"/>
        <v>309.10557628799995</v>
      </c>
      <c r="M109" s="2">
        <f t="shared" si="5"/>
        <v>1751.5982656319998</v>
      </c>
      <c r="N109">
        <v>736.8</v>
      </c>
      <c r="O109">
        <v>1014.8</v>
      </c>
      <c r="P109" s="3"/>
    </row>
    <row r="110" spans="1:16">
      <c r="A110">
        <v>22</v>
      </c>
      <c r="B110">
        <v>0.21290000000000001</v>
      </c>
      <c r="C110">
        <v>8192.84</v>
      </c>
      <c r="D110" s="2">
        <f t="shared" si="6"/>
        <v>69.639140000000012</v>
      </c>
      <c r="E110" s="2">
        <f t="shared" si="7"/>
        <v>41.783484000000001</v>
      </c>
      <c r="F110" s="2">
        <f t="shared" si="8"/>
        <v>111.42262400000001</v>
      </c>
      <c r="G110">
        <f t="shared" si="4"/>
        <v>4763.51</v>
      </c>
      <c r="H110" s="2">
        <f t="shared" si="9"/>
        <v>3317.9073760000001</v>
      </c>
      <c r="J110" s="2">
        <f t="shared" si="12"/>
        <v>1094.90943408</v>
      </c>
      <c r="K110" s="2">
        <f t="shared" si="11"/>
        <v>2222.9979419199999</v>
      </c>
      <c r="L110" s="3">
        <f t="shared" si="10"/>
        <v>333.449691288</v>
      </c>
      <c r="M110" s="2">
        <f t="shared" si="5"/>
        <v>1889.548250632</v>
      </c>
      <c r="N110">
        <v>736.8</v>
      </c>
      <c r="O110">
        <v>1152.75</v>
      </c>
      <c r="P110" s="3"/>
    </row>
    <row r="111" spans="1:16">
      <c r="A111">
        <v>23</v>
      </c>
      <c r="B111">
        <v>0.21290000000000001</v>
      </c>
      <c r="C111">
        <v>8192.84</v>
      </c>
      <c r="D111" s="2">
        <f t="shared" si="6"/>
        <v>69.639140000000012</v>
      </c>
      <c r="E111" s="2">
        <f t="shared" si="7"/>
        <v>41.783484000000001</v>
      </c>
      <c r="F111" s="2">
        <f t="shared" si="8"/>
        <v>111.42262400000001</v>
      </c>
      <c r="G111">
        <f t="shared" si="4"/>
        <v>4512.83</v>
      </c>
      <c r="H111" s="2">
        <f t="shared" si="9"/>
        <v>3568.5873760000004</v>
      </c>
      <c r="J111" s="2">
        <f t="shared" si="12"/>
        <v>1177.6338340800003</v>
      </c>
      <c r="K111" s="2">
        <f t="shared" si="11"/>
        <v>2390.9535419200001</v>
      </c>
      <c r="L111" s="3">
        <f t="shared" si="10"/>
        <v>358.64303128800003</v>
      </c>
      <c r="M111" s="2">
        <f t="shared" si="5"/>
        <v>2032.3105106320002</v>
      </c>
      <c r="N111">
        <v>736.8</v>
      </c>
      <c r="O111">
        <v>1295.51</v>
      </c>
      <c r="P111" s="3"/>
    </row>
    <row r="112" spans="1:16">
      <c r="A112">
        <v>24</v>
      </c>
      <c r="B112">
        <v>0.21290000000000001</v>
      </c>
      <c r="C112">
        <v>8192.84</v>
      </c>
      <c r="D112" s="2">
        <f t="shared" si="6"/>
        <v>69.639140000000012</v>
      </c>
      <c r="E112" s="2">
        <f t="shared" si="7"/>
        <v>41.783484000000001</v>
      </c>
      <c r="F112" s="2">
        <f t="shared" si="8"/>
        <v>111.42262400000001</v>
      </c>
      <c r="G112">
        <f t="shared" si="4"/>
        <v>4396.3</v>
      </c>
      <c r="H112" s="2">
        <f t="shared" si="9"/>
        <v>3685.1173760000001</v>
      </c>
      <c r="J112" s="2">
        <f t="shared" si="12"/>
        <v>1216.08873408</v>
      </c>
      <c r="K112" s="2">
        <f>H112-J112</f>
        <v>2469.0286419200002</v>
      </c>
      <c r="L112" s="3">
        <f t="shared" si="10"/>
        <v>370.354296288</v>
      </c>
      <c r="M112" s="2">
        <f t="shared" si="5"/>
        <v>2098.674345632</v>
      </c>
      <c r="N112">
        <v>2098.6799999999998</v>
      </c>
      <c r="P112" s="3"/>
    </row>
    <row r="113" spans="1:16">
      <c r="A113">
        <v>25</v>
      </c>
      <c r="B113">
        <v>0.21290000000000001</v>
      </c>
      <c r="C113">
        <v>8192.84</v>
      </c>
      <c r="D113" s="2">
        <f t="shared" si="6"/>
        <v>69.639140000000012</v>
      </c>
      <c r="E113" s="2">
        <f t="shared" si="7"/>
        <v>41.783484000000001</v>
      </c>
      <c r="F113" s="2">
        <f t="shared" si="8"/>
        <v>111.42262400000001</v>
      </c>
      <c r="G113">
        <f t="shared" si="4"/>
        <v>4396.3</v>
      </c>
      <c r="H113" s="2">
        <f t="shared" si="9"/>
        <v>3685.1173760000001</v>
      </c>
      <c r="J113" s="2">
        <f t="shared" si="12"/>
        <v>1216.08873408</v>
      </c>
      <c r="K113" s="2">
        <f t="shared" si="11"/>
        <v>2469.0286419200002</v>
      </c>
      <c r="L113" s="3">
        <f t="shared" si="10"/>
        <v>370.354296288</v>
      </c>
      <c r="M113" s="2">
        <f t="shared" si="5"/>
        <v>2098.674345632</v>
      </c>
      <c r="N113">
        <v>2098.6799999999998</v>
      </c>
      <c r="P113" s="3"/>
    </row>
    <row r="114" spans="1:16">
      <c r="A114">
        <v>26</v>
      </c>
      <c r="B114">
        <v>0.21290000000000001</v>
      </c>
      <c r="C114">
        <v>8192.84</v>
      </c>
      <c r="D114" s="2">
        <f t="shared" si="6"/>
        <v>69.639140000000012</v>
      </c>
      <c r="E114" s="2">
        <f t="shared" si="7"/>
        <v>41.783484000000001</v>
      </c>
      <c r="F114" s="2">
        <f t="shared" si="8"/>
        <v>111.42262400000001</v>
      </c>
      <c r="G114">
        <f t="shared" si="4"/>
        <v>4396.3</v>
      </c>
      <c r="H114" s="2">
        <f t="shared" si="9"/>
        <v>3685.1173760000001</v>
      </c>
      <c r="J114" s="2">
        <f t="shared" si="12"/>
        <v>1216.08873408</v>
      </c>
      <c r="K114" s="2">
        <f t="shared" si="11"/>
        <v>2469.0286419200002</v>
      </c>
      <c r="L114" s="3">
        <f t="shared" si="10"/>
        <v>370.354296288</v>
      </c>
      <c r="M114" s="2">
        <f t="shared" si="5"/>
        <v>2098.674345632</v>
      </c>
      <c r="N114">
        <v>2098.6799999999998</v>
      </c>
      <c r="P114" s="3"/>
    </row>
    <row r="115" spans="1:16">
      <c r="A115">
        <v>27</v>
      </c>
      <c r="B115">
        <v>0.21290000000000001</v>
      </c>
      <c r="C115">
        <v>8192.84</v>
      </c>
      <c r="D115" s="2">
        <f t="shared" si="6"/>
        <v>69.639140000000012</v>
      </c>
      <c r="E115" s="2">
        <f t="shared" si="7"/>
        <v>41.783484000000001</v>
      </c>
      <c r="F115" s="2">
        <f t="shared" si="8"/>
        <v>111.42262400000001</v>
      </c>
      <c r="G115">
        <f t="shared" si="4"/>
        <v>4396.3</v>
      </c>
      <c r="H115" s="2">
        <f t="shared" si="9"/>
        <v>3685.1173760000001</v>
      </c>
      <c r="J115" s="2">
        <f t="shared" si="12"/>
        <v>1216.08873408</v>
      </c>
      <c r="K115" s="2">
        <f t="shared" si="11"/>
        <v>2469.0286419200002</v>
      </c>
      <c r="L115" s="3">
        <f t="shared" si="10"/>
        <v>370.354296288</v>
      </c>
      <c r="M115" s="2">
        <f t="shared" si="5"/>
        <v>2098.674345632</v>
      </c>
      <c r="N115">
        <v>2098.6799999999998</v>
      </c>
      <c r="P115" s="3"/>
    </row>
    <row r="116" spans="1:16">
      <c r="A116">
        <v>28</v>
      </c>
      <c r="B116">
        <v>0.21290000000000001</v>
      </c>
      <c r="C116">
        <v>8192.84</v>
      </c>
      <c r="D116" s="2">
        <f t="shared" si="6"/>
        <v>69.639140000000012</v>
      </c>
      <c r="E116" s="2">
        <f t="shared" si="7"/>
        <v>41.783484000000001</v>
      </c>
      <c r="F116" s="2">
        <f t="shared" si="8"/>
        <v>111.42262400000001</v>
      </c>
      <c r="G116">
        <f t="shared" si="4"/>
        <v>4396.3</v>
      </c>
      <c r="H116" s="2">
        <f t="shared" si="9"/>
        <v>3685.1173760000001</v>
      </c>
      <c r="J116" s="2">
        <f t="shared" si="12"/>
        <v>1216.08873408</v>
      </c>
      <c r="K116" s="2">
        <f t="shared" si="11"/>
        <v>2469.0286419200002</v>
      </c>
      <c r="L116" s="3">
        <f t="shared" si="10"/>
        <v>370.354296288</v>
      </c>
      <c r="M116" s="2">
        <f t="shared" si="5"/>
        <v>2098.674345632</v>
      </c>
      <c r="N116">
        <v>2098.6799999999998</v>
      </c>
      <c r="P116" s="3"/>
    </row>
    <row r="117" spans="1:16">
      <c r="A117">
        <v>29</v>
      </c>
      <c r="B117">
        <v>0.21290000000000001</v>
      </c>
      <c r="C117">
        <v>8192.84</v>
      </c>
      <c r="D117" s="2">
        <f t="shared" si="6"/>
        <v>69.639140000000012</v>
      </c>
      <c r="E117" s="2">
        <f t="shared" si="7"/>
        <v>41.783484000000001</v>
      </c>
      <c r="F117" s="2">
        <f t="shared" si="8"/>
        <v>111.42262400000001</v>
      </c>
      <c r="G117">
        <f t="shared" si="4"/>
        <v>4396.3</v>
      </c>
      <c r="H117" s="2">
        <f t="shared" si="9"/>
        <v>3685.1173760000001</v>
      </c>
      <c r="J117" s="2">
        <f t="shared" si="12"/>
        <v>1216.08873408</v>
      </c>
      <c r="K117" s="2">
        <f t="shared" si="11"/>
        <v>2469.0286419200002</v>
      </c>
      <c r="L117" s="3">
        <f t="shared" si="10"/>
        <v>370.354296288</v>
      </c>
      <c r="M117" s="2">
        <f t="shared" si="5"/>
        <v>2098.674345632</v>
      </c>
      <c r="N117">
        <v>2098.6799999999998</v>
      </c>
      <c r="P117" s="3"/>
    </row>
    <row r="118" spans="1:16">
      <c r="A118">
        <v>30</v>
      </c>
      <c r="B118">
        <v>0.21290000000000001</v>
      </c>
      <c r="C118">
        <v>8192.84</v>
      </c>
      <c r="D118" s="2">
        <f t="shared" si="6"/>
        <v>69.639140000000012</v>
      </c>
      <c r="E118" s="2">
        <f t="shared" si="7"/>
        <v>41.783484000000001</v>
      </c>
      <c r="F118" s="2">
        <f t="shared" si="8"/>
        <v>111.42262400000001</v>
      </c>
      <c r="G118">
        <f t="shared" si="4"/>
        <v>3292.5599999999995</v>
      </c>
      <c r="H118" s="2">
        <f t="shared" si="9"/>
        <v>4788.8573760000008</v>
      </c>
      <c r="J118" s="2">
        <f t="shared" si="12"/>
        <v>1580.3229340800003</v>
      </c>
      <c r="K118" s="2">
        <f t="shared" si="11"/>
        <v>3208.5344419200005</v>
      </c>
      <c r="L118" s="3">
        <f t="shared" si="10"/>
        <v>481.28016628800003</v>
      </c>
      <c r="M118" s="2">
        <f t="shared" si="5"/>
        <v>2727.2542756320004</v>
      </c>
      <c r="N118">
        <v>2210.4</v>
      </c>
      <c r="O118">
        <v>516.86</v>
      </c>
      <c r="P118" s="3"/>
    </row>
    <row r="119" spans="1:16">
      <c r="A119">
        <v>31</v>
      </c>
      <c r="B119">
        <v>0.21290000000000001</v>
      </c>
      <c r="C119">
        <v>8192.84</v>
      </c>
      <c r="D119" s="2">
        <f t="shared" si="6"/>
        <v>69.639140000000012</v>
      </c>
      <c r="E119" s="2">
        <f t="shared" si="7"/>
        <v>41.783484000000001</v>
      </c>
      <c r="F119" s="2">
        <f t="shared" si="8"/>
        <v>111.42262400000001</v>
      </c>
      <c r="G119">
        <f t="shared" si="4"/>
        <v>1453.0600000000002</v>
      </c>
      <c r="H119" s="2">
        <f t="shared" si="9"/>
        <v>6628.3573759999999</v>
      </c>
      <c r="J119" s="2">
        <f t="shared" si="12"/>
        <v>2187.3579340800002</v>
      </c>
      <c r="K119" s="2">
        <f t="shared" si="11"/>
        <v>4440.9994419199993</v>
      </c>
      <c r="L119" s="3">
        <f t="shared" si="10"/>
        <v>666.14991628799987</v>
      </c>
      <c r="M119" s="2">
        <f t="shared" si="5"/>
        <v>3774.8495256319993</v>
      </c>
      <c r="N119">
        <v>2210.4</v>
      </c>
      <c r="O119">
        <v>1564.45</v>
      </c>
      <c r="P119" s="3"/>
    </row>
    <row r="120" spans="1:16">
      <c r="A120">
        <v>32</v>
      </c>
      <c r="B120">
        <v>0.21290000000000001</v>
      </c>
      <c r="C120">
        <v>8192.84</v>
      </c>
      <c r="D120" s="2">
        <f t="shared" si="6"/>
        <v>69.639140000000012</v>
      </c>
      <c r="E120" s="2">
        <f t="shared" si="7"/>
        <v>41.783484000000001</v>
      </c>
      <c r="F120" s="2">
        <f t="shared" si="8"/>
        <v>111.42262400000001</v>
      </c>
      <c r="G120">
        <f t="shared" si="4"/>
        <v>1453.0600000000002</v>
      </c>
      <c r="H120" s="2">
        <f t="shared" si="9"/>
        <v>6628.3573759999999</v>
      </c>
      <c r="J120" s="2">
        <f t="shared" si="12"/>
        <v>2187.3579340800002</v>
      </c>
      <c r="K120" s="2">
        <f t="shared" si="11"/>
        <v>4440.9994419199993</v>
      </c>
      <c r="L120" s="3">
        <f t="shared" si="10"/>
        <v>666.14991628799987</v>
      </c>
      <c r="M120" s="2">
        <f t="shared" si="5"/>
        <v>3774.8495256319993</v>
      </c>
      <c r="N120">
        <v>2210.4</v>
      </c>
      <c r="O120">
        <v>1564.45</v>
      </c>
      <c r="P120" s="3"/>
    </row>
    <row r="121" spans="1:16">
      <c r="A121">
        <v>33</v>
      </c>
      <c r="B121">
        <v>0.21290000000000001</v>
      </c>
      <c r="C121">
        <v>8192.84</v>
      </c>
      <c r="D121" s="2">
        <f t="shared" si="6"/>
        <v>69.639140000000012</v>
      </c>
      <c r="E121" s="2">
        <f t="shared" si="7"/>
        <v>41.783484000000001</v>
      </c>
      <c r="F121" s="2">
        <f t="shared" si="8"/>
        <v>111.42262400000001</v>
      </c>
      <c r="G121">
        <f t="shared" si="4"/>
        <v>1453.0600000000002</v>
      </c>
      <c r="H121" s="2">
        <f t="shared" si="9"/>
        <v>6628.3573759999999</v>
      </c>
      <c r="J121" s="2">
        <f t="shared" si="12"/>
        <v>2187.3579340800002</v>
      </c>
      <c r="K121" s="2">
        <f t="shared" si="11"/>
        <v>4440.9994419199993</v>
      </c>
      <c r="L121" s="3">
        <f t="shared" si="10"/>
        <v>666.14991628799987</v>
      </c>
      <c r="M121" s="2">
        <f t="shared" si="5"/>
        <v>3774.8495256319993</v>
      </c>
      <c r="N121">
        <v>2210.4</v>
      </c>
      <c r="O121">
        <v>1564.45</v>
      </c>
      <c r="P121" s="3"/>
    </row>
    <row r="122" spans="1:16">
      <c r="A122">
        <v>34</v>
      </c>
      <c r="B122">
        <v>0.21290000000000001</v>
      </c>
      <c r="C122">
        <v>8192.84</v>
      </c>
      <c r="D122" s="2">
        <f t="shared" si="6"/>
        <v>69.639140000000012</v>
      </c>
      <c r="E122" s="2">
        <f t="shared" si="7"/>
        <v>41.783484000000001</v>
      </c>
      <c r="F122" s="2">
        <f t="shared" si="8"/>
        <v>111.42262400000001</v>
      </c>
      <c r="G122">
        <f t="shared" si="4"/>
        <v>1453.0600000000002</v>
      </c>
      <c r="H122" s="2">
        <f t="shared" si="9"/>
        <v>6628.3573759999999</v>
      </c>
      <c r="J122" s="2">
        <f t="shared" si="12"/>
        <v>2187.3579340800002</v>
      </c>
      <c r="K122" s="2">
        <f t="shared" si="11"/>
        <v>4440.9994419199993</v>
      </c>
      <c r="L122" s="3">
        <f t="shared" si="10"/>
        <v>666.14991628799987</v>
      </c>
      <c r="M122" s="2">
        <f t="shared" si="5"/>
        <v>3774.8495256319993</v>
      </c>
      <c r="N122">
        <v>2210.4</v>
      </c>
      <c r="O122">
        <v>1564.45</v>
      </c>
      <c r="P122" s="3"/>
    </row>
    <row r="123" spans="1:16">
      <c r="A123">
        <v>35</v>
      </c>
      <c r="B123">
        <v>0.21290000000000001</v>
      </c>
      <c r="C123">
        <v>8192.84</v>
      </c>
      <c r="D123" s="2">
        <f t="shared" si="6"/>
        <v>69.639140000000012</v>
      </c>
      <c r="E123" s="2">
        <f t="shared" si="7"/>
        <v>41.783484000000001</v>
      </c>
      <c r="F123" s="2">
        <f t="shared" si="8"/>
        <v>111.42262400000001</v>
      </c>
      <c r="G123">
        <f t="shared" si="4"/>
        <v>1453.0600000000002</v>
      </c>
      <c r="H123" s="2">
        <f t="shared" si="9"/>
        <v>6628.3573759999999</v>
      </c>
      <c r="J123" s="2">
        <f t="shared" si="12"/>
        <v>2187.3579340800002</v>
      </c>
      <c r="K123" s="2">
        <f t="shared" si="11"/>
        <v>4440.9994419199993</v>
      </c>
      <c r="L123" s="3">
        <f t="shared" si="10"/>
        <v>666.14991628799987</v>
      </c>
      <c r="M123" s="2">
        <f t="shared" si="5"/>
        <v>3774.8495256319993</v>
      </c>
      <c r="N123">
        <v>2210.4</v>
      </c>
      <c r="O123">
        <v>1564.45</v>
      </c>
      <c r="P123" s="3"/>
    </row>
    <row r="124" spans="1:16">
      <c r="C124">
        <f>SUM(C93:C123)</f>
        <v>248857.56999999992</v>
      </c>
      <c r="D124">
        <f t="shared" ref="D124:O124" si="13">SUM(D93:D123)</f>
        <v>2115.2893450000001</v>
      </c>
      <c r="E124">
        <f t="shared" si="13"/>
        <v>1269.1736070000006</v>
      </c>
      <c r="F124">
        <f t="shared" si="13"/>
        <v>3384.4629519999985</v>
      </c>
      <c r="G124" s="2">
        <f t="shared" si="13"/>
        <v>153819.46934999997</v>
      </c>
      <c r="H124">
        <f t="shared" si="13"/>
        <v>91653.637698000006</v>
      </c>
      <c r="J124">
        <f t="shared" si="13"/>
        <v>29913.309637199993</v>
      </c>
      <c r="K124">
        <f t="shared" si="13"/>
        <v>61740.328060799991</v>
      </c>
      <c r="L124" s="4">
        <f t="shared" si="13"/>
        <v>9261.0492091199994</v>
      </c>
      <c r="M124">
        <f t="shared" si="13"/>
        <v>52479.278851680014</v>
      </c>
      <c r="N124">
        <f t="shared" si="13"/>
        <v>37012.680000000008</v>
      </c>
      <c r="O124">
        <f t="shared" si="13"/>
        <v>15466.610000000004</v>
      </c>
    </row>
    <row r="127" spans="1:16">
      <c r="A127" s="43" t="s">
        <v>117</v>
      </c>
      <c r="B127" s="43"/>
      <c r="C127" s="43"/>
      <c r="D127" s="43"/>
      <c r="E127" s="43"/>
    </row>
    <row r="128" spans="1:16">
      <c r="B128" s="13"/>
      <c r="C128" s="14"/>
      <c r="D128" s="14"/>
      <c r="E128" s="14"/>
      <c r="F128" s="14"/>
      <c r="G128" s="15"/>
    </row>
    <row r="129" spans="1:15">
      <c r="B129" s="50" t="s">
        <v>119</v>
      </c>
      <c r="C129" s="51"/>
      <c r="D129" s="51"/>
      <c r="E129" s="51"/>
      <c r="F129" s="51"/>
      <c r="G129" s="52"/>
      <c r="H129" s="50" t="s">
        <v>120</v>
      </c>
      <c r="I129" s="51"/>
      <c r="J129" s="51"/>
      <c r="K129" s="51"/>
      <c r="L129" s="51"/>
      <c r="M129" s="52"/>
    </row>
    <row r="130" spans="1:15">
      <c r="B130" s="37" t="s">
        <v>118</v>
      </c>
      <c r="C130" s="38"/>
      <c r="D130" s="38"/>
      <c r="E130" s="14"/>
      <c r="F130" s="14"/>
      <c r="G130" s="15"/>
      <c r="H130" s="37"/>
      <c r="I130" s="38"/>
      <c r="J130" s="38"/>
      <c r="K130" s="38"/>
      <c r="L130" s="38"/>
      <c r="M130" s="39"/>
    </row>
    <row r="131" spans="1:15">
      <c r="B131" s="17" t="s">
        <v>27</v>
      </c>
      <c r="C131" s="18" t="s">
        <v>28</v>
      </c>
      <c r="D131" s="18" t="s">
        <v>12</v>
      </c>
      <c r="E131" s="18" t="s">
        <v>29</v>
      </c>
      <c r="F131" s="18" t="s">
        <v>181</v>
      </c>
      <c r="G131" s="19" t="s">
        <v>182</v>
      </c>
      <c r="H131" s="18" t="s">
        <v>30</v>
      </c>
      <c r="I131" s="18" t="s">
        <v>31</v>
      </c>
      <c r="J131" s="18" t="s">
        <v>32</v>
      </c>
      <c r="K131" s="18" t="s">
        <v>33</v>
      </c>
      <c r="L131" s="18" t="s">
        <v>34</v>
      </c>
      <c r="M131" s="20" t="s">
        <v>12</v>
      </c>
    </row>
    <row r="132" spans="1:15">
      <c r="A132">
        <v>1</v>
      </c>
      <c r="B132" s="13"/>
      <c r="C132" s="14"/>
      <c r="D132" s="14"/>
      <c r="E132" s="14"/>
      <c r="F132" s="14"/>
      <c r="G132" s="15"/>
      <c r="O132" s="2"/>
    </row>
    <row r="133" spans="1:15">
      <c r="A133">
        <v>2</v>
      </c>
      <c r="B133" s="13"/>
      <c r="C133" s="14"/>
      <c r="D133" s="14"/>
      <c r="E133" s="14">
        <v>9158.7900000000009</v>
      </c>
      <c r="F133" s="14">
        <v>280.26</v>
      </c>
      <c r="G133" s="15"/>
      <c r="O133" s="2">
        <f>D136+E136+F136-G136</f>
        <v>57771.270000000004</v>
      </c>
    </row>
    <row r="134" spans="1:15">
      <c r="A134">
        <v>3</v>
      </c>
      <c r="B134" s="13">
        <v>9158.7900000000009</v>
      </c>
      <c r="C134" s="14">
        <v>280.26</v>
      </c>
      <c r="D134" s="14">
        <f>B134+C134</f>
        <v>9439.0500000000011</v>
      </c>
      <c r="E134" s="14">
        <v>14372.91</v>
      </c>
      <c r="F134" s="14">
        <v>1017.48</v>
      </c>
      <c r="G134" s="15"/>
      <c r="O134" s="2"/>
    </row>
    <row r="135" spans="1:15">
      <c r="A135">
        <v>4</v>
      </c>
      <c r="B135" s="13">
        <v>23531.7</v>
      </c>
      <c r="C135" s="14">
        <v>1297.74</v>
      </c>
      <c r="D135" s="14">
        <f>B135+C135</f>
        <v>24829.440000000002</v>
      </c>
      <c r="E135" s="14">
        <v>19289.71</v>
      </c>
      <c r="F135" s="14">
        <v>2109.83</v>
      </c>
      <c r="G135" s="15"/>
      <c r="O135" s="2"/>
    </row>
    <row r="136" spans="1:15">
      <c r="A136">
        <v>5</v>
      </c>
      <c r="B136" s="13">
        <v>42821.41</v>
      </c>
      <c r="C136" s="14">
        <v>3407.57</v>
      </c>
      <c r="D136" s="14">
        <f>B136+C136</f>
        <v>46228.98</v>
      </c>
      <c r="E136" s="14">
        <v>10554.79</v>
      </c>
      <c r="F136" s="14">
        <v>3152.19</v>
      </c>
      <c r="G136" s="15">
        <v>2164.69</v>
      </c>
      <c r="I136">
        <v>1103.73</v>
      </c>
      <c r="L136">
        <f>F136-C23</f>
        <v>1060.96</v>
      </c>
      <c r="M136">
        <f t="shared" ref="M136:M143" si="14">I136+L136</f>
        <v>2164.69</v>
      </c>
      <c r="O136" s="2"/>
    </row>
    <row r="137" spans="1:15">
      <c r="A137">
        <v>6</v>
      </c>
      <c r="B137" s="13">
        <v>52272.47</v>
      </c>
      <c r="C137" s="14">
        <v>5498.8</v>
      </c>
      <c r="D137" s="14">
        <v>57771.27</v>
      </c>
      <c r="E137" s="14"/>
      <c r="F137" s="14">
        <v>3535.6</v>
      </c>
      <c r="G137" s="15">
        <v>6478.84</v>
      </c>
      <c r="I137">
        <v>2943.24</v>
      </c>
      <c r="L137">
        <v>3535.6</v>
      </c>
      <c r="M137">
        <f t="shared" si="14"/>
        <v>6478.84</v>
      </c>
    </row>
    <row r="138" spans="1:15">
      <c r="A138">
        <v>7</v>
      </c>
      <c r="B138" s="13">
        <v>54828.03</v>
      </c>
      <c r="C138" s="14"/>
      <c r="D138" s="14">
        <v>54828.03</v>
      </c>
      <c r="E138" s="14"/>
      <c r="F138" s="14">
        <v>3355.48</v>
      </c>
      <c r="G138" s="15">
        <v>6298.71</v>
      </c>
      <c r="I138">
        <v>2943.24</v>
      </c>
      <c r="L138">
        <v>3355.48</v>
      </c>
      <c r="M138">
        <f t="shared" si="14"/>
        <v>6298.7199999999993</v>
      </c>
    </row>
    <row r="139" spans="1:15">
      <c r="A139">
        <v>8</v>
      </c>
      <c r="B139" s="13">
        <v>51884.79</v>
      </c>
      <c r="C139" s="14"/>
      <c r="D139" s="14">
        <v>51884.79</v>
      </c>
      <c r="E139" s="14"/>
      <c r="F139" s="14">
        <v>3175.35</v>
      </c>
      <c r="G139" s="15">
        <v>6118.59</v>
      </c>
      <c r="I139">
        <v>2943.24</v>
      </c>
      <c r="L139">
        <v>3175.35</v>
      </c>
      <c r="M139">
        <f t="shared" si="14"/>
        <v>6118.59</v>
      </c>
    </row>
    <row r="140" spans="1:15">
      <c r="A140">
        <v>9</v>
      </c>
      <c r="B140" s="13">
        <v>48941.55</v>
      </c>
      <c r="C140" s="14"/>
      <c r="D140" s="14">
        <v>48941.55</v>
      </c>
      <c r="E140" s="14"/>
      <c r="F140" s="14">
        <v>2995.22</v>
      </c>
      <c r="G140" s="15">
        <v>5938.46</v>
      </c>
      <c r="I140">
        <v>2943.24</v>
      </c>
      <c r="L140">
        <v>2995.22</v>
      </c>
      <c r="M140">
        <f t="shared" si="14"/>
        <v>5938.4599999999991</v>
      </c>
    </row>
    <row r="141" spans="1:15">
      <c r="A141">
        <v>10</v>
      </c>
      <c r="B141" s="13">
        <v>45998.32</v>
      </c>
      <c r="C141" s="14"/>
      <c r="D141" s="14">
        <v>45998.32</v>
      </c>
      <c r="E141" s="14"/>
      <c r="F141" s="14">
        <v>2815.1</v>
      </c>
      <c r="G141" s="15">
        <v>5758.33</v>
      </c>
      <c r="I141">
        <v>2943.24</v>
      </c>
      <c r="L141">
        <v>2815.1</v>
      </c>
      <c r="M141">
        <f t="shared" si="14"/>
        <v>5758.34</v>
      </c>
    </row>
    <row r="142" spans="1:15">
      <c r="A142">
        <v>11</v>
      </c>
      <c r="B142" s="13">
        <v>43055.08</v>
      </c>
      <c r="C142" s="14"/>
      <c r="D142" s="14">
        <v>43055.08</v>
      </c>
      <c r="E142" s="14"/>
      <c r="F142" s="14">
        <v>2634.97</v>
      </c>
      <c r="G142" s="15">
        <v>5578.21</v>
      </c>
      <c r="I142">
        <v>2943.24</v>
      </c>
      <c r="L142">
        <v>2634.97</v>
      </c>
      <c r="M142">
        <f t="shared" si="14"/>
        <v>5578.2099999999991</v>
      </c>
    </row>
    <row r="143" spans="1:15">
      <c r="A143">
        <v>12</v>
      </c>
      <c r="B143" s="13">
        <v>40111.839999999997</v>
      </c>
      <c r="C143" s="14"/>
      <c r="D143" s="14">
        <v>40111.839999999997</v>
      </c>
      <c r="E143" s="14"/>
      <c r="F143" s="14">
        <v>2454.84</v>
      </c>
      <c r="G143" s="15">
        <v>5398.08</v>
      </c>
      <c r="I143">
        <v>2943.24</v>
      </c>
      <c r="L143">
        <v>2454.84</v>
      </c>
      <c r="M143">
        <f t="shared" si="14"/>
        <v>5398.08</v>
      </c>
    </row>
    <row r="144" spans="1:15">
      <c r="A144">
        <v>13</v>
      </c>
      <c r="B144" s="13">
        <v>37168.6</v>
      </c>
      <c r="C144" s="14"/>
      <c r="D144" s="14">
        <v>37168.6</v>
      </c>
      <c r="E144" s="14"/>
      <c r="F144" s="14">
        <v>2274.92</v>
      </c>
      <c r="G144" s="15">
        <v>5277.18</v>
      </c>
      <c r="H144">
        <v>59.23</v>
      </c>
      <c r="I144">
        <v>2943.24</v>
      </c>
      <c r="L144">
        <v>2274.7199999999998</v>
      </c>
      <c r="M144">
        <f t="shared" ref="M144:M154" si="15">H144+I144+L144</f>
        <v>5277.19</v>
      </c>
    </row>
    <row r="145" spans="1:15">
      <c r="A145">
        <v>14</v>
      </c>
      <c r="B145" s="13">
        <v>34166.14</v>
      </c>
      <c r="C145" s="14"/>
      <c r="D145" s="14">
        <v>34166.14</v>
      </c>
      <c r="E145" s="14"/>
      <c r="F145" s="14">
        <v>2090.9699999999998</v>
      </c>
      <c r="G145" s="15">
        <v>5198.08</v>
      </c>
      <c r="H145">
        <v>163.87</v>
      </c>
      <c r="I145">
        <v>2943.24</v>
      </c>
      <c r="L145">
        <v>2090.9699999999998</v>
      </c>
      <c r="M145">
        <f t="shared" si="15"/>
        <v>5198.08</v>
      </c>
    </row>
    <row r="146" spans="1:15">
      <c r="A146">
        <v>15</v>
      </c>
      <c r="B146" s="13">
        <v>31059.03</v>
      </c>
      <c r="C146" s="14"/>
      <c r="D146" s="14">
        <v>31059.03</v>
      </c>
      <c r="E146" s="14"/>
      <c r="F146" s="14">
        <v>1900.81</v>
      </c>
      <c r="G146" s="15">
        <v>5123.42</v>
      </c>
      <c r="H146">
        <v>279.37</v>
      </c>
      <c r="I146">
        <v>2943.24</v>
      </c>
      <c r="L146">
        <v>1900.81</v>
      </c>
      <c r="M146">
        <f t="shared" si="15"/>
        <v>5123.42</v>
      </c>
    </row>
    <row r="147" spans="1:15">
      <c r="A147">
        <v>16</v>
      </c>
      <c r="B147" s="13">
        <v>27836.42</v>
      </c>
      <c r="C147" s="14"/>
      <c r="D147" s="14">
        <v>27836.42</v>
      </c>
      <c r="E147" s="14"/>
      <c r="F147" s="14">
        <v>1703.59</v>
      </c>
      <c r="G147" s="15">
        <v>5038.51</v>
      </c>
      <c r="H147">
        <v>391.68</v>
      </c>
      <c r="I147">
        <v>2943.24</v>
      </c>
      <c r="L147">
        <v>1703.59</v>
      </c>
      <c r="M147">
        <f t="shared" si="15"/>
        <v>5038.5099999999993</v>
      </c>
    </row>
    <row r="148" spans="1:15">
      <c r="A148">
        <v>17</v>
      </c>
      <c r="B148" s="13">
        <v>24501.5</v>
      </c>
      <c r="C148" s="14"/>
      <c r="D148" s="14">
        <v>24501.5</v>
      </c>
      <c r="E148" s="14"/>
      <c r="F148" s="14">
        <v>1499.49</v>
      </c>
      <c r="G148" s="15">
        <v>4950.6499999999996</v>
      </c>
      <c r="H148">
        <v>507.92</v>
      </c>
      <c r="I148">
        <v>2943.24</v>
      </c>
      <c r="L148">
        <v>1499.49</v>
      </c>
      <c r="M148">
        <f t="shared" si="15"/>
        <v>4950.6499999999996</v>
      </c>
    </row>
    <row r="149" spans="1:15">
      <c r="A149">
        <v>18</v>
      </c>
      <c r="B149" s="13">
        <v>21050.34</v>
      </c>
      <c r="C149" s="14"/>
      <c r="D149" s="14">
        <v>21050.34</v>
      </c>
      <c r="E149" s="14"/>
      <c r="F149" s="14">
        <v>1288.28</v>
      </c>
      <c r="G149" s="15">
        <v>4859.72</v>
      </c>
      <c r="H149">
        <v>628.20000000000005</v>
      </c>
      <c r="I149">
        <v>2943.24</v>
      </c>
      <c r="L149">
        <v>1288.28</v>
      </c>
      <c r="M149">
        <f t="shared" si="15"/>
        <v>4859.7199999999993</v>
      </c>
    </row>
    <row r="150" spans="1:15">
      <c r="A150">
        <v>19</v>
      </c>
      <c r="B150" s="13">
        <v>17478.900000000001</v>
      </c>
      <c r="C150" s="14"/>
      <c r="D150" s="14">
        <v>17478.900000000001</v>
      </c>
      <c r="E150" s="14"/>
      <c r="F150" s="14">
        <v>1069.71</v>
      </c>
      <c r="G150" s="15">
        <v>4765.63</v>
      </c>
      <c r="H150">
        <v>752.68</v>
      </c>
      <c r="I150">
        <v>2943.24</v>
      </c>
      <c r="L150">
        <v>1069.71</v>
      </c>
      <c r="M150">
        <f t="shared" si="15"/>
        <v>4765.6299999999992</v>
      </c>
    </row>
    <row r="151" spans="1:15">
      <c r="A151">
        <v>20</v>
      </c>
      <c r="B151" s="13">
        <v>13782.99</v>
      </c>
      <c r="C151" s="14"/>
      <c r="D151" s="14">
        <v>13782.99</v>
      </c>
      <c r="E151" s="14"/>
      <c r="F151" s="14">
        <v>843.52</v>
      </c>
      <c r="G151" s="15">
        <v>4668.25</v>
      </c>
      <c r="H151">
        <v>881.49</v>
      </c>
      <c r="I151">
        <v>2943.24</v>
      </c>
      <c r="L151">
        <v>843.52</v>
      </c>
      <c r="M151">
        <f t="shared" si="15"/>
        <v>4668.25</v>
      </c>
    </row>
    <row r="152" spans="1:15">
      <c r="A152">
        <v>21</v>
      </c>
      <c r="B152" s="13">
        <v>9958.26</v>
      </c>
      <c r="C152" s="14"/>
      <c r="D152" s="14">
        <v>9958.26</v>
      </c>
      <c r="E152" s="14"/>
      <c r="F152" s="14">
        <v>609.45000000000005</v>
      </c>
      <c r="G152" s="15">
        <v>4567.4799999999996</v>
      </c>
      <c r="H152">
        <v>1014.8</v>
      </c>
      <c r="I152">
        <v>2943.24</v>
      </c>
      <c r="L152">
        <v>609.45000000000005</v>
      </c>
      <c r="M152">
        <f t="shared" si="15"/>
        <v>4567.49</v>
      </c>
    </row>
    <row r="153" spans="1:15">
      <c r="A153">
        <v>22</v>
      </c>
      <c r="B153" s="13">
        <v>6000.22</v>
      </c>
      <c r="C153" s="14"/>
      <c r="D153" s="14">
        <v>6000.22</v>
      </c>
      <c r="E153" s="14"/>
      <c r="F153" s="14">
        <v>367.21</v>
      </c>
      <c r="G153" s="15">
        <v>4463.2</v>
      </c>
      <c r="H153">
        <v>1152.75</v>
      </c>
      <c r="I153">
        <v>2943.24</v>
      </c>
      <c r="L153">
        <v>367.21</v>
      </c>
      <c r="M153">
        <f t="shared" si="15"/>
        <v>4463.2</v>
      </c>
    </row>
    <row r="154" spans="1:15">
      <c r="A154">
        <v>23</v>
      </c>
      <c r="B154" s="13">
        <v>1904.23</v>
      </c>
      <c r="C154" s="14"/>
      <c r="D154" s="14">
        <v>1904.23</v>
      </c>
      <c r="E154" s="14"/>
      <c r="F154" s="14">
        <v>116.54</v>
      </c>
      <c r="G154" s="15">
        <v>2020.77</v>
      </c>
      <c r="H154">
        <v>1295.51</v>
      </c>
      <c r="I154">
        <v>2943.24</v>
      </c>
      <c r="L154">
        <v>116.54</v>
      </c>
      <c r="M154">
        <f t="shared" si="15"/>
        <v>4355.29</v>
      </c>
    </row>
    <row r="155" spans="1:15">
      <c r="A155">
        <v>24</v>
      </c>
      <c r="B155" s="13"/>
      <c r="C155" s="14"/>
      <c r="D155" s="14"/>
      <c r="E155" s="14">
        <f t="shared" ref="E155:M155" si="16">SUM(E133:E154)</f>
        <v>53376.200000000004</v>
      </c>
      <c r="F155" s="14">
        <f t="shared" si="16"/>
        <v>41290.809999999983</v>
      </c>
      <c r="G155" s="15">
        <f t="shared" si="16"/>
        <v>94666.8</v>
      </c>
      <c r="H155">
        <f t="shared" si="16"/>
        <v>7127.5000000000009</v>
      </c>
      <c r="I155">
        <f t="shared" si="16"/>
        <v>54082.049999999974</v>
      </c>
      <c r="K155">
        <f t="shared" si="16"/>
        <v>0</v>
      </c>
      <c r="L155">
        <f t="shared" si="16"/>
        <v>35791.81</v>
      </c>
      <c r="M155">
        <f t="shared" si="16"/>
        <v>97001.36</v>
      </c>
    </row>
    <row r="158" spans="1:15">
      <c r="A158" s="43" t="s">
        <v>112</v>
      </c>
      <c r="B158" s="43"/>
      <c r="C158" s="43"/>
      <c r="D158" s="43"/>
      <c r="E158" s="43"/>
      <c r="F158" s="43"/>
    </row>
    <row r="159" spans="1:15">
      <c r="B159" t="s">
        <v>19</v>
      </c>
      <c r="C159" t="s">
        <v>1</v>
      </c>
      <c r="D159" t="s">
        <v>8</v>
      </c>
      <c r="E159" t="s">
        <v>35</v>
      </c>
      <c r="F159" t="s">
        <v>36</v>
      </c>
      <c r="G159" t="s">
        <v>37</v>
      </c>
      <c r="H159" t="s">
        <v>38</v>
      </c>
      <c r="I159" t="s">
        <v>39</v>
      </c>
      <c r="J159" t="s">
        <v>40</v>
      </c>
      <c r="K159" t="s">
        <v>41</v>
      </c>
      <c r="L159" t="s">
        <v>42</v>
      </c>
    </row>
    <row r="160" spans="1:15">
      <c r="A160">
        <v>1</v>
      </c>
      <c r="H160">
        <v>1045.6199999999999</v>
      </c>
      <c r="L160" s="2">
        <f>B160+C160+D160+E160+F160+G160+H160+I160+J160+K160</f>
        <v>1045.6199999999999</v>
      </c>
      <c r="O160" s="2"/>
    </row>
    <row r="161" spans="1:15">
      <c r="A161">
        <v>2</v>
      </c>
      <c r="E161">
        <v>9439.07</v>
      </c>
      <c r="H161">
        <v>2343.9699999999998</v>
      </c>
      <c r="L161" s="2">
        <f t="shared" ref="L161:L195" si="17">B161+C161+D161+E161+F161+G161+H161+I161+J161+K161</f>
        <v>11783.039999999999</v>
      </c>
      <c r="M161" s="2"/>
      <c r="O161" s="2"/>
    </row>
    <row r="162" spans="1:15">
      <c r="A162">
        <v>3</v>
      </c>
      <c r="E162">
        <v>15390.38</v>
      </c>
      <c r="H162">
        <v>3678.4</v>
      </c>
      <c r="L162" s="2">
        <f t="shared" si="17"/>
        <v>19068.78</v>
      </c>
      <c r="M162" s="2"/>
      <c r="O162" s="2"/>
    </row>
    <row r="163" spans="1:15">
      <c r="A163">
        <v>4</v>
      </c>
      <c r="E163">
        <v>21399.53</v>
      </c>
      <c r="H163">
        <v>4936.74</v>
      </c>
      <c r="L163" s="2">
        <f t="shared" si="17"/>
        <v>26336.269999999997</v>
      </c>
      <c r="M163" s="2"/>
      <c r="O163" s="2"/>
    </row>
    <row r="164" spans="1:15">
      <c r="A164">
        <v>5</v>
      </c>
      <c r="B164" s="2">
        <f>H93</f>
        <v>124.66576799999984</v>
      </c>
      <c r="C164">
        <v>1103.73</v>
      </c>
      <c r="E164">
        <v>12646.02</v>
      </c>
      <c r="F164">
        <v>70</v>
      </c>
      <c r="H164">
        <v>2731.25</v>
      </c>
      <c r="L164" s="2">
        <f t="shared" si="17"/>
        <v>16675.665767999999</v>
      </c>
      <c r="M164" s="2"/>
      <c r="O164" s="2"/>
    </row>
    <row r="165" spans="1:15">
      <c r="A165">
        <v>6</v>
      </c>
      <c r="B165" s="2">
        <f t="shared" ref="B165:B194" si="18">H94</f>
        <v>136.87802599999941</v>
      </c>
      <c r="C165">
        <v>2943.24</v>
      </c>
      <c r="L165" s="2">
        <f t="shared" si="17"/>
        <v>3080.1180259999992</v>
      </c>
      <c r="O165" s="2"/>
    </row>
    <row r="166" spans="1:15">
      <c r="A166">
        <v>7</v>
      </c>
      <c r="B166" s="2">
        <f t="shared" si="18"/>
        <v>317.00737599999957</v>
      </c>
      <c r="C166">
        <v>2943.24</v>
      </c>
      <c r="L166" s="2">
        <f t="shared" si="17"/>
        <v>3260.2473759999993</v>
      </c>
      <c r="O166" s="2"/>
    </row>
    <row r="167" spans="1:15">
      <c r="A167">
        <v>8</v>
      </c>
      <c r="B167" s="2">
        <f t="shared" si="18"/>
        <v>497.13737599999968</v>
      </c>
      <c r="C167">
        <v>2943.24</v>
      </c>
      <c r="L167" s="2">
        <f t="shared" si="17"/>
        <v>3440.3773759999995</v>
      </c>
      <c r="O167" s="2"/>
    </row>
    <row r="168" spans="1:15">
      <c r="A168">
        <v>9</v>
      </c>
      <c r="B168" s="2">
        <f t="shared" si="18"/>
        <v>677.25737599999957</v>
      </c>
      <c r="C168">
        <v>2943.24</v>
      </c>
      <c r="L168" s="2">
        <f t="shared" si="17"/>
        <v>3620.4973759999993</v>
      </c>
      <c r="O168" s="2"/>
    </row>
    <row r="169" spans="1:15">
      <c r="A169">
        <v>10</v>
      </c>
      <c r="B169" s="2">
        <f t="shared" si="18"/>
        <v>857.38737599999968</v>
      </c>
      <c r="C169">
        <v>2943.24</v>
      </c>
      <c r="L169" s="2">
        <f t="shared" si="17"/>
        <v>3800.6273759999995</v>
      </c>
      <c r="O169" s="2"/>
    </row>
    <row r="170" spans="1:15">
      <c r="A170">
        <v>11</v>
      </c>
      <c r="B170" s="2">
        <f t="shared" si="18"/>
        <v>1037.5173759999998</v>
      </c>
      <c r="C170">
        <v>2943.24</v>
      </c>
      <c r="L170" s="2">
        <f t="shared" si="17"/>
        <v>3980.7573759999996</v>
      </c>
      <c r="O170" s="2"/>
    </row>
    <row r="171" spans="1:15">
      <c r="A171">
        <v>12</v>
      </c>
      <c r="B171" s="2">
        <f t="shared" si="18"/>
        <v>1217.6373759999997</v>
      </c>
      <c r="C171">
        <v>2943.24</v>
      </c>
      <c r="L171" s="2">
        <f t="shared" si="17"/>
        <v>4160.8773759999995</v>
      </c>
      <c r="O171" s="2"/>
    </row>
    <row r="172" spans="1:15">
      <c r="A172">
        <v>13</v>
      </c>
      <c r="B172" s="2">
        <f t="shared" si="18"/>
        <v>1397.7673759999998</v>
      </c>
      <c r="C172">
        <v>2943.24</v>
      </c>
      <c r="L172" s="2">
        <f t="shared" si="17"/>
        <v>4341.0073759999996</v>
      </c>
      <c r="O172" s="2"/>
    </row>
    <row r="173" spans="1:15">
      <c r="A173">
        <v>14</v>
      </c>
      <c r="B173" s="2">
        <f t="shared" si="18"/>
        <v>1581.5173759999998</v>
      </c>
      <c r="C173">
        <v>2943.24</v>
      </c>
      <c r="L173" s="2">
        <f t="shared" si="17"/>
        <v>4524.7573759999996</v>
      </c>
      <c r="O173" s="2"/>
    </row>
    <row r="174" spans="1:15">
      <c r="A174">
        <v>15</v>
      </c>
      <c r="B174" s="2">
        <f t="shared" si="18"/>
        <v>1784.3073759999997</v>
      </c>
      <c r="C174">
        <v>2943.24</v>
      </c>
      <c r="L174" s="2">
        <f t="shared" si="17"/>
        <v>4727.5473759999995</v>
      </c>
      <c r="O174" s="2"/>
    </row>
    <row r="175" spans="1:15">
      <c r="A175">
        <v>16</v>
      </c>
      <c r="B175" s="2">
        <f t="shared" si="18"/>
        <v>1981.5373760000002</v>
      </c>
      <c r="C175">
        <v>2943.24</v>
      </c>
      <c r="L175" s="2">
        <f t="shared" si="17"/>
        <v>4924.777376</v>
      </c>
      <c r="O175" s="2"/>
    </row>
    <row r="176" spans="1:15">
      <c r="A176">
        <v>17</v>
      </c>
      <c r="B176" s="2">
        <f t="shared" si="18"/>
        <v>2185.6273759999995</v>
      </c>
      <c r="C176">
        <v>2943.24</v>
      </c>
      <c r="L176" s="2">
        <f t="shared" si="17"/>
        <v>5128.8673759999992</v>
      </c>
      <c r="O176" s="2"/>
    </row>
    <row r="177" spans="1:15">
      <c r="A177">
        <v>18</v>
      </c>
      <c r="B177" s="2">
        <f t="shared" si="18"/>
        <v>2396.8473759999997</v>
      </c>
      <c r="C177">
        <v>2943.24</v>
      </c>
      <c r="L177" s="2">
        <f t="shared" si="17"/>
        <v>5340.0873759999995</v>
      </c>
      <c r="O177" s="2"/>
    </row>
    <row r="178" spans="1:15">
      <c r="A178">
        <v>19</v>
      </c>
      <c r="B178" s="2">
        <f t="shared" si="18"/>
        <v>2615.4173760000003</v>
      </c>
      <c r="C178">
        <v>2943.24</v>
      </c>
      <c r="L178" s="2">
        <f t="shared" si="17"/>
        <v>5558.6573760000001</v>
      </c>
      <c r="O178" s="2"/>
    </row>
    <row r="179" spans="1:15">
      <c r="A179">
        <v>20</v>
      </c>
      <c r="B179" s="2">
        <f t="shared" si="18"/>
        <v>2841.6073759999999</v>
      </c>
      <c r="C179">
        <v>2943.24</v>
      </c>
      <c r="L179" s="2">
        <f t="shared" si="17"/>
        <v>5784.8473759999997</v>
      </c>
      <c r="O179" s="2"/>
    </row>
    <row r="180" spans="1:15">
      <c r="A180">
        <v>21</v>
      </c>
      <c r="B180" s="2">
        <f t="shared" si="18"/>
        <v>3075.6773759999996</v>
      </c>
      <c r="C180">
        <v>2943.24</v>
      </c>
      <c r="L180" s="2">
        <f t="shared" si="17"/>
        <v>6018.9173759999994</v>
      </c>
      <c r="O180" s="2"/>
    </row>
    <row r="181" spans="1:15">
      <c r="A181">
        <v>22</v>
      </c>
      <c r="B181" s="2">
        <f t="shared" si="18"/>
        <v>3317.9073760000001</v>
      </c>
      <c r="C181">
        <v>2943.24</v>
      </c>
      <c r="L181" s="2">
        <f t="shared" si="17"/>
        <v>6261.1473759999999</v>
      </c>
      <c r="O181" s="2"/>
    </row>
    <row r="182" spans="1:15">
      <c r="A182">
        <v>23</v>
      </c>
      <c r="B182" s="2">
        <f t="shared" si="18"/>
        <v>3568.5873760000004</v>
      </c>
      <c r="C182">
        <v>2943.24</v>
      </c>
      <c r="L182" s="2">
        <f t="shared" si="17"/>
        <v>6511.8273760000002</v>
      </c>
      <c r="O182" s="2"/>
    </row>
    <row r="183" spans="1:15">
      <c r="A183">
        <v>24</v>
      </c>
      <c r="B183" s="2">
        <f t="shared" si="18"/>
        <v>3685.1173760000001</v>
      </c>
      <c r="C183">
        <v>2943.24</v>
      </c>
      <c r="L183" s="2">
        <f t="shared" si="17"/>
        <v>6628.3573759999999</v>
      </c>
      <c r="O183" s="2"/>
    </row>
    <row r="184" spans="1:15">
      <c r="A184">
        <v>25</v>
      </c>
      <c r="B184" s="2">
        <f t="shared" si="18"/>
        <v>3685.1173760000001</v>
      </c>
      <c r="C184">
        <v>2943.24</v>
      </c>
      <c r="L184" s="2">
        <f t="shared" si="17"/>
        <v>6628.3573759999999</v>
      </c>
      <c r="O184" s="2"/>
    </row>
    <row r="185" spans="1:15">
      <c r="A185">
        <v>26</v>
      </c>
      <c r="B185" s="2">
        <f t="shared" si="18"/>
        <v>3685.1173760000001</v>
      </c>
      <c r="C185">
        <v>2943.24</v>
      </c>
      <c r="L185" s="2">
        <f t="shared" si="17"/>
        <v>6628.3573759999999</v>
      </c>
      <c r="O185" s="2"/>
    </row>
    <row r="186" spans="1:15">
      <c r="A186">
        <v>27</v>
      </c>
      <c r="B186" s="2">
        <f t="shared" si="18"/>
        <v>3685.1173760000001</v>
      </c>
      <c r="C186">
        <v>2943.24</v>
      </c>
      <c r="L186" s="2">
        <f t="shared" si="17"/>
        <v>6628.3573759999999</v>
      </c>
      <c r="O186" s="2"/>
    </row>
    <row r="187" spans="1:15">
      <c r="A187">
        <v>28</v>
      </c>
      <c r="B187" s="2">
        <f t="shared" si="18"/>
        <v>3685.1173760000001</v>
      </c>
      <c r="C187">
        <v>2943.24</v>
      </c>
      <c r="L187" s="2">
        <f t="shared" si="17"/>
        <v>6628.3573759999999</v>
      </c>
      <c r="O187" s="2"/>
    </row>
    <row r="188" spans="1:15">
      <c r="A188">
        <v>29</v>
      </c>
      <c r="B188" s="2">
        <f t="shared" si="18"/>
        <v>3685.1173760000001</v>
      </c>
      <c r="C188">
        <v>2943.24</v>
      </c>
      <c r="L188" s="2">
        <f t="shared" si="17"/>
        <v>6628.3573759999999</v>
      </c>
      <c r="O188" s="2"/>
    </row>
    <row r="189" spans="1:15">
      <c r="A189">
        <v>30</v>
      </c>
      <c r="B189" s="2">
        <f t="shared" si="18"/>
        <v>4788.8573760000008</v>
      </c>
      <c r="C189">
        <v>1839.5</v>
      </c>
      <c r="L189" s="2">
        <f t="shared" si="17"/>
        <v>6628.3573760000008</v>
      </c>
      <c r="O189" s="2"/>
    </row>
    <row r="190" spans="1:15">
      <c r="A190">
        <v>31</v>
      </c>
      <c r="B190" s="2">
        <f t="shared" si="18"/>
        <v>6628.3573759999999</v>
      </c>
      <c r="L190" s="2">
        <f t="shared" si="17"/>
        <v>6628.3573759999999</v>
      </c>
      <c r="O190" s="2"/>
    </row>
    <row r="191" spans="1:15">
      <c r="A191">
        <v>32</v>
      </c>
      <c r="B191" s="2">
        <f t="shared" si="18"/>
        <v>6628.3573759999999</v>
      </c>
      <c r="L191" s="2">
        <f t="shared" si="17"/>
        <v>6628.3573759999999</v>
      </c>
      <c r="O191" s="2"/>
    </row>
    <row r="192" spans="1:15">
      <c r="A192">
        <v>33</v>
      </c>
      <c r="B192" s="2">
        <f t="shared" si="18"/>
        <v>6628.3573759999999</v>
      </c>
      <c r="L192" s="2">
        <f t="shared" si="17"/>
        <v>6628.3573759999999</v>
      </c>
      <c r="O192" s="2"/>
    </row>
    <row r="193" spans="1:15">
      <c r="A193">
        <v>34</v>
      </c>
      <c r="B193" s="2">
        <f t="shared" si="18"/>
        <v>6628.3573759999999</v>
      </c>
      <c r="L193" s="2">
        <f t="shared" si="17"/>
        <v>6628.3573759999999</v>
      </c>
      <c r="O193" s="2"/>
    </row>
    <row r="194" spans="1:15">
      <c r="A194">
        <v>35</v>
      </c>
      <c r="B194" s="2">
        <f t="shared" si="18"/>
        <v>6628.3573759999999</v>
      </c>
      <c r="K194">
        <v>100</v>
      </c>
      <c r="L194" s="2">
        <f t="shared" si="17"/>
        <v>6728.3573759999999</v>
      </c>
      <c r="O194" s="2"/>
    </row>
    <row r="195" spans="1:15">
      <c r="B195" s="2">
        <f>SUM(B164:B194)</f>
        <v>91653.637698000006</v>
      </c>
      <c r="C195">
        <f>SUM(C164:C194)</f>
        <v>73580.989999999976</v>
      </c>
      <c r="E195" s="2">
        <f>SUM(E161:E194)</f>
        <v>58875</v>
      </c>
      <c r="F195">
        <v>70</v>
      </c>
      <c r="H195">
        <f>SUM(H160:H194)</f>
        <v>14735.98</v>
      </c>
      <c r="K195">
        <v>100</v>
      </c>
      <c r="L195" s="2">
        <f t="shared" si="17"/>
        <v>239015.60769800001</v>
      </c>
    </row>
    <row r="198" spans="1:15">
      <c r="A198" s="43" t="s">
        <v>43</v>
      </c>
      <c r="B198" s="43"/>
      <c r="C198" s="43"/>
      <c r="D198" s="43"/>
      <c r="E198" s="43"/>
      <c r="F198" s="43"/>
    </row>
    <row r="199" spans="1:15">
      <c r="B199" t="s">
        <v>44</v>
      </c>
      <c r="C199" t="s">
        <v>28</v>
      </c>
      <c r="D199" t="s">
        <v>45</v>
      </c>
      <c r="E199" t="s">
        <v>21</v>
      </c>
      <c r="F199" t="s">
        <v>25</v>
      </c>
      <c r="G199" t="s">
        <v>183</v>
      </c>
      <c r="H199" t="s">
        <v>46</v>
      </c>
      <c r="I199" t="s">
        <v>47</v>
      </c>
      <c r="J199" t="s">
        <v>12</v>
      </c>
      <c r="K199" t="s">
        <v>48</v>
      </c>
      <c r="L199" t="s">
        <v>49</v>
      </c>
    </row>
    <row r="200" spans="1:15">
      <c r="A200">
        <v>1</v>
      </c>
      <c r="B200">
        <v>1045.6199999999999</v>
      </c>
      <c r="J200">
        <f>B200+C200+D200+E200+F200+G200+H200</f>
        <v>1045.6199999999999</v>
      </c>
      <c r="N200" s="2"/>
    </row>
    <row r="201" spans="1:15">
      <c r="A201">
        <v>2</v>
      </c>
      <c r="B201">
        <v>11502.75</v>
      </c>
      <c r="C201">
        <v>280.26</v>
      </c>
      <c r="J201">
        <f t="shared" ref="J201:J234" si="19">B201+C201+D201+E201+F201+G201+H201</f>
        <v>11783.01</v>
      </c>
      <c r="N201" s="2"/>
    </row>
    <row r="202" spans="1:15">
      <c r="A202">
        <v>3</v>
      </c>
      <c r="B202">
        <v>18051.3</v>
      </c>
      <c r="C202">
        <v>1017.48</v>
      </c>
      <c r="J202">
        <f t="shared" si="19"/>
        <v>19068.78</v>
      </c>
      <c r="N202" s="2"/>
    </row>
    <row r="203" spans="1:15">
      <c r="A203">
        <v>4</v>
      </c>
      <c r="B203">
        <v>24226.44</v>
      </c>
      <c r="C203">
        <v>2109.83</v>
      </c>
      <c r="J203">
        <f t="shared" si="19"/>
        <v>26336.269999999997</v>
      </c>
      <c r="N203" s="2"/>
    </row>
    <row r="204" spans="1:15">
      <c r="A204">
        <v>5</v>
      </c>
      <c r="B204">
        <v>13256.03</v>
      </c>
      <c r="C204">
        <v>2091.23</v>
      </c>
      <c r="D204">
        <v>100</v>
      </c>
      <c r="F204">
        <v>105.96</v>
      </c>
      <c r="G204">
        <v>1103.73</v>
      </c>
      <c r="J204">
        <f t="shared" si="19"/>
        <v>16656.95</v>
      </c>
      <c r="K204" s="2">
        <f>L164-J204</f>
        <v>18.715767999998207</v>
      </c>
      <c r="L204" s="2">
        <f>K204</f>
        <v>18.715767999998207</v>
      </c>
      <c r="N204" s="2"/>
    </row>
    <row r="205" spans="1:15">
      <c r="A205">
        <v>6</v>
      </c>
      <c r="F205">
        <v>116.35</v>
      </c>
      <c r="G205">
        <v>2943.24</v>
      </c>
      <c r="J205">
        <f t="shared" si="19"/>
        <v>3059.5899999999997</v>
      </c>
      <c r="K205" s="2">
        <f t="shared" ref="K205:K234" si="20">L165-J205</f>
        <v>20.5280259999995</v>
      </c>
      <c r="L205" s="2">
        <f>K204+K205</f>
        <v>39.243793999997706</v>
      </c>
      <c r="N205" s="2"/>
    </row>
    <row r="206" spans="1:15">
      <c r="A206">
        <v>7</v>
      </c>
      <c r="E206" s="2">
        <v>52.306217040000078</v>
      </c>
      <c r="F206">
        <v>224.99</v>
      </c>
      <c r="G206">
        <v>2943.24</v>
      </c>
      <c r="J206">
        <f t="shared" si="19"/>
        <v>3220.5362170399999</v>
      </c>
      <c r="K206" s="2">
        <f t="shared" si="20"/>
        <v>39.711158959999466</v>
      </c>
      <c r="L206" s="2">
        <f>L205+K206</f>
        <v>78.954952959997172</v>
      </c>
      <c r="N206" s="2"/>
    </row>
    <row r="207" spans="1:15">
      <c r="A207">
        <v>8</v>
      </c>
      <c r="E207" s="2">
        <v>82.027667040000097</v>
      </c>
      <c r="F207">
        <v>352.84</v>
      </c>
      <c r="G207">
        <v>2943.24</v>
      </c>
      <c r="J207">
        <f t="shared" si="19"/>
        <v>3378.1076670399998</v>
      </c>
      <c r="K207" s="2">
        <f t="shared" si="20"/>
        <v>62.269708959999662</v>
      </c>
      <c r="L207" s="2">
        <f>L206+K207</f>
        <v>141.22466191999683</v>
      </c>
      <c r="N207" s="2"/>
    </row>
    <row r="208" spans="1:15">
      <c r="A208">
        <v>9</v>
      </c>
      <c r="E208" s="2">
        <v>111.74746704000009</v>
      </c>
      <c r="F208">
        <v>480.68</v>
      </c>
      <c r="G208">
        <v>2943.24</v>
      </c>
      <c r="J208">
        <f t="shared" si="19"/>
        <v>3535.6674670399998</v>
      </c>
      <c r="K208" s="2">
        <f t="shared" si="20"/>
        <v>84.829908959999557</v>
      </c>
      <c r="L208" s="2">
        <f t="shared" ref="L208:L233" si="21">L207+K208</f>
        <v>226.05457087999639</v>
      </c>
      <c r="N208" s="2"/>
    </row>
    <row r="209" spans="1:14">
      <c r="A209">
        <v>10</v>
      </c>
      <c r="E209" s="2">
        <v>282.93783408000019</v>
      </c>
      <c r="F209">
        <v>488.28</v>
      </c>
      <c r="G209">
        <v>2943.24</v>
      </c>
      <c r="J209">
        <f t="shared" si="19"/>
        <v>3714.4578340799999</v>
      </c>
      <c r="K209" s="2">
        <f t="shared" si="20"/>
        <v>86.169541919999574</v>
      </c>
      <c r="L209" s="2">
        <f t="shared" si="21"/>
        <v>312.22411279999596</v>
      </c>
      <c r="N209" s="2"/>
    </row>
    <row r="210" spans="1:14">
      <c r="A210">
        <v>11</v>
      </c>
      <c r="E210" s="2">
        <v>342.38073408000025</v>
      </c>
      <c r="F210">
        <v>590.86</v>
      </c>
      <c r="G210">
        <v>2943.24</v>
      </c>
      <c r="J210">
        <f t="shared" si="19"/>
        <v>3876.4807340799998</v>
      </c>
      <c r="K210" s="2">
        <f t="shared" si="20"/>
        <v>104.27664191999975</v>
      </c>
      <c r="L210" s="2">
        <f t="shared" si="21"/>
        <v>416.50075471999571</v>
      </c>
      <c r="N210" s="2"/>
    </row>
    <row r="211" spans="1:14">
      <c r="A211">
        <v>12</v>
      </c>
      <c r="E211" s="2">
        <v>401.82033408000024</v>
      </c>
      <c r="F211">
        <v>693.44</v>
      </c>
      <c r="G211">
        <v>2943.24</v>
      </c>
      <c r="J211">
        <f t="shared" si="19"/>
        <v>4038.5003340800004</v>
      </c>
      <c r="K211" s="2">
        <f t="shared" si="20"/>
        <v>122.3770419199991</v>
      </c>
      <c r="L211" s="2">
        <f t="shared" si="21"/>
        <v>538.87779663999481</v>
      </c>
      <c r="N211" s="2"/>
    </row>
    <row r="212" spans="1:14">
      <c r="A212">
        <v>13</v>
      </c>
      <c r="E212" s="2">
        <v>461.26323408000025</v>
      </c>
      <c r="F212">
        <v>736.8</v>
      </c>
      <c r="G212" s="36">
        <v>3002.47</v>
      </c>
      <c r="J212">
        <f t="shared" si="19"/>
        <v>4200.5332340799996</v>
      </c>
      <c r="K212" s="2">
        <f t="shared" si="20"/>
        <v>140.47414191999997</v>
      </c>
      <c r="L212" s="2">
        <f t="shared" si="21"/>
        <v>679.35193855999478</v>
      </c>
      <c r="N212" s="2"/>
    </row>
    <row r="213" spans="1:14">
      <c r="A213">
        <v>14</v>
      </c>
      <c r="E213" s="2">
        <v>521.90073408000023</v>
      </c>
      <c r="F213">
        <v>736.8</v>
      </c>
      <c r="G213">
        <v>3107.11</v>
      </c>
      <c r="J213">
        <f t="shared" si="19"/>
        <v>4365.8107340799997</v>
      </c>
      <c r="K213" s="2">
        <f t="shared" si="20"/>
        <v>158.94664191999982</v>
      </c>
      <c r="L213" s="2">
        <f t="shared" si="21"/>
        <v>838.2985804799946</v>
      </c>
      <c r="N213" s="2"/>
    </row>
    <row r="214" spans="1:14">
      <c r="A214">
        <v>15</v>
      </c>
      <c r="E214" s="2">
        <v>588.82143408000024</v>
      </c>
      <c r="F214">
        <v>736.8</v>
      </c>
      <c r="G214">
        <v>3222.61</v>
      </c>
      <c r="J214">
        <f t="shared" si="19"/>
        <v>4548.2314340800003</v>
      </c>
      <c r="K214" s="2">
        <f t="shared" si="20"/>
        <v>179.3159419199992</v>
      </c>
      <c r="L214" s="2">
        <f t="shared" si="21"/>
        <v>1017.6145223999938</v>
      </c>
      <c r="N214" s="2"/>
    </row>
    <row r="215" spans="1:14">
      <c r="A215">
        <v>16</v>
      </c>
      <c r="E215" s="2">
        <v>653.90733408000006</v>
      </c>
      <c r="F215">
        <v>736.8</v>
      </c>
      <c r="G215">
        <v>3334.92</v>
      </c>
      <c r="J215">
        <f t="shared" si="19"/>
        <v>4725.6273340799999</v>
      </c>
      <c r="K215" s="2">
        <f t="shared" si="20"/>
        <v>199.15004192000015</v>
      </c>
      <c r="L215" s="2">
        <f t="shared" si="21"/>
        <v>1216.764564319994</v>
      </c>
      <c r="N215" s="2"/>
    </row>
    <row r="216" spans="1:14">
      <c r="A216">
        <v>17</v>
      </c>
      <c r="E216" s="2">
        <v>721.25703408000015</v>
      </c>
      <c r="F216">
        <v>736.8</v>
      </c>
      <c r="G216">
        <v>3451.16</v>
      </c>
      <c r="J216">
        <f t="shared" si="19"/>
        <v>4909.2170340800003</v>
      </c>
      <c r="K216" s="2">
        <f t="shared" si="20"/>
        <v>219.65034191999894</v>
      </c>
      <c r="L216" s="2">
        <f t="shared" si="21"/>
        <v>1436.4149062399929</v>
      </c>
      <c r="N216" s="2"/>
    </row>
    <row r="217" spans="1:14">
      <c r="A217">
        <v>18</v>
      </c>
      <c r="E217" s="2">
        <v>790.95963408000023</v>
      </c>
      <c r="F217">
        <v>736.8</v>
      </c>
      <c r="G217">
        <v>3571.44</v>
      </c>
      <c r="J217">
        <f t="shared" si="19"/>
        <v>5099.1996340799997</v>
      </c>
      <c r="K217" s="2">
        <f t="shared" si="20"/>
        <v>240.88774191999983</v>
      </c>
      <c r="L217" s="2">
        <f t="shared" si="21"/>
        <v>1677.3026481599927</v>
      </c>
      <c r="N217" s="2"/>
    </row>
    <row r="218" spans="1:14">
      <c r="A218">
        <v>19</v>
      </c>
      <c r="E218" s="2">
        <v>863.08773408000013</v>
      </c>
      <c r="F218">
        <v>736.8</v>
      </c>
      <c r="G218">
        <v>3695.92</v>
      </c>
      <c r="J218">
        <f t="shared" si="19"/>
        <v>5295.80773408</v>
      </c>
      <c r="K218" s="2">
        <f t="shared" si="20"/>
        <v>262.84964192000007</v>
      </c>
      <c r="L218" s="2">
        <f t="shared" si="21"/>
        <v>1940.1522900799928</v>
      </c>
      <c r="N218" s="2"/>
    </row>
    <row r="219" spans="1:14">
      <c r="A219">
        <v>20</v>
      </c>
      <c r="E219" s="2">
        <v>937.73043408000001</v>
      </c>
      <c r="F219">
        <v>736.8</v>
      </c>
      <c r="G219">
        <v>3824.73</v>
      </c>
      <c r="J219">
        <f t="shared" si="19"/>
        <v>5499.2604340799999</v>
      </c>
      <c r="K219" s="2">
        <f t="shared" si="20"/>
        <v>285.58694191999984</v>
      </c>
      <c r="L219" s="2">
        <f t="shared" si="21"/>
        <v>2225.7392319999926</v>
      </c>
      <c r="N219" s="2"/>
    </row>
    <row r="220" spans="1:14">
      <c r="A220">
        <v>21</v>
      </c>
      <c r="E220" s="2">
        <v>1014.9735340800003</v>
      </c>
      <c r="F220">
        <v>736.8</v>
      </c>
      <c r="G220">
        <v>3958.04</v>
      </c>
      <c r="J220">
        <f t="shared" si="19"/>
        <v>5709.81353408</v>
      </c>
      <c r="K220" s="2">
        <f t="shared" si="20"/>
        <v>309.10384191999947</v>
      </c>
      <c r="L220" s="2">
        <f t="shared" si="21"/>
        <v>2534.8430739199921</v>
      </c>
      <c r="N220" s="2"/>
    </row>
    <row r="221" spans="1:14">
      <c r="A221">
        <v>22</v>
      </c>
      <c r="E221" s="2">
        <v>1094.90943408</v>
      </c>
      <c r="F221">
        <v>736.8</v>
      </c>
      <c r="G221">
        <v>4095.99</v>
      </c>
      <c r="J221">
        <f t="shared" si="19"/>
        <v>5927.6994340799993</v>
      </c>
      <c r="K221" s="2">
        <f t="shared" si="20"/>
        <v>333.44794192000063</v>
      </c>
      <c r="L221" s="2">
        <f t="shared" si="21"/>
        <v>2868.2910158399927</v>
      </c>
      <c r="N221" s="2"/>
    </row>
    <row r="222" spans="1:14">
      <c r="A222">
        <v>23</v>
      </c>
      <c r="E222" s="2">
        <v>1177.6338340800003</v>
      </c>
      <c r="F222">
        <v>736.8</v>
      </c>
      <c r="G222">
        <v>1904.2</v>
      </c>
      <c r="J222">
        <f t="shared" si="19"/>
        <v>3818.6338340800003</v>
      </c>
      <c r="K222" s="2">
        <f t="shared" si="20"/>
        <v>2693.1935419199999</v>
      </c>
      <c r="L222" s="2">
        <f t="shared" si="21"/>
        <v>5561.4845577599926</v>
      </c>
      <c r="N222" s="2"/>
    </row>
    <row r="223" spans="1:14">
      <c r="A223">
        <v>24</v>
      </c>
      <c r="E223" s="2">
        <v>1216.08873408</v>
      </c>
      <c r="F223">
        <v>2098.6799999999998</v>
      </c>
      <c r="J223">
        <f t="shared" si="19"/>
        <v>3314.7687340799998</v>
      </c>
      <c r="K223" s="2">
        <f t="shared" si="20"/>
        <v>3313.5886419200001</v>
      </c>
      <c r="L223" s="2">
        <f t="shared" si="21"/>
        <v>8875.0731996799932</v>
      </c>
      <c r="N223" s="2"/>
    </row>
    <row r="224" spans="1:14">
      <c r="A224">
        <v>25</v>
      </c>
      <c r="E224" s="2">
        <v>1216.08873408</v>
      </c>
      <c r="F224">
        <v>2098.6799999999998</v>
      </c>
      <c r="J224">
        <f t="shared" si="19"/>
        <v>3314.7687340799998</v>
      </c>
      <c r="K224" s="2">
        <f t="shared" si="20"/>
        <v>3313.5886419200001</v>
      </c>
      <c r="L224" s="2">
        <f t="shared" si="21"/>
        <v>12188.661841599993</v>
      </c>
      <c r="N224" s="2"/>
    </row>
    <row r="225" spans="1:16">
      <c r="A225">
        <v>26</v>
      </c>
      <c r="E225" s="2">
        <v>1216.08873408</v>
      </c>
      <c r="F225">
        <v>2098.6799999999998</v>
      </c>
      <c r="J225">
        <f t="shared" si="19"/>
        <v>3314.7687340799998</v>
      </c>
      <c r="K225" s="2">
        <f t="shared" si="20"/>
        <v>3313.5886419200001</v>
      </c>
      <c r="L225" s="2">
        <f t="shared" si="21"/>
        <v>15502.250483519992</v>
      </c>
      <c r="N225" s="2"/>
    </row>
    <row r="226" spans="1:16">
      <c r="A226">
        <v>27</v>
      </c>
      <c r="E226" s="2">
        <v>1216.08873408</v>
      </c>
      <c r="F226">
        <v>2098.6799999999998</v>
      </c>
      <c r="J226">
        <f t="shared" si="19"/>
        <v>3314.7687340799998</v>
      </c>
      <c r="K226" s="2">
        <f t="shared" si="20"/>
        <v>3313.5886419200001</v>
      </c>
      <c r="L226" s="2">
        <f t="shared" si="21"/>
        <v>18815.839125439994</v>
      </c>
      <c r="N226" s="2"/>
    </row>
    <row r="227" spans="1:16">
      <c r="A227">
        <v>28</v>
      </c>
      <c r="E227" s="2">
        <v>1216.08873408</v>
      </c>
      <c r="F227">
        <v>2098.6799999999998</v>
      </c>
      <c r="J227">
        <f t="shared" si="19"/>
        <v>3314.7687340799998</v>
      </c>
      <c r="K227" s="2">
        <f t="shared" si="20"/>
        <v>3313.5886419200001</v>
      </c>
      <c r="L227" s="2">
        <f t="shared" si="21"/>
        <v>22129.427767359994</v>
      </c>
      <c r="N227" s="2"/>
    </row>
    <row r="228" spans="1:16">
      <c r="A228">
        <v>29</v>
      </c>
      <c r="E228" s="2">
        <v>1216.08873408</v>
      </c>
      <c r="F228">
        <v>2098.6799999999998</v>
      </c>
      <c r="J228">
        <f t="shared" si="19"/>
        <v>3314.7687340799998</v>
      </c>
      <c r="K228" s="2">
        <f t="shared" si="20"/>
        <v>3313.5886419200001</v>
      </c>
      <c r="L228" s="2">
        <f t="shared" si="21"/>
        <v>25443.016409279993</v>
      </c>
      <c r="N228" s="2"/>
    </row>
    <row r="229" spans="1:16">
      <c r="A229">
        <v>30</v>
      </c>
      <c r="E229" s="2">
        <v>1580.3229340800001</v>
      </c>
      <c r="F229">
        <v>2210.4</v>
      </c>
      <c r="J229">
        <f t="shared" si="19"/>
        <v>3790.7229340800004</v>
      </c>
      <c r="K229" s="2">
        <f t="shared" si="20"/>
        <v>2837.6344419200004</v>
      </c>
      <c r="L229" s="2">
        <f t="shared" si="21"/>
        <v>28280.650851199993</v>
      </c>
      <c r="N229" s="2"/>
    </row>
    <row r="230" spans="1:16">
      <c r="A230">
        <v>31</v>
      </c>
      <c r="E230" s="2">
        <v>2187.3579340800002</v>
      </c>
      <c r="F230">
        <v>2210.4</v>
      </c>
      <c r="J230">
        <f t="shared" si="19"/>
        <v>4397.7579340800003</v>
      </c>
      <c r="K230" s="2">
        <f t="shared" si="20"/>
        <v>2230.5994419199997</v>
      </c>
      <c r="L230" s="2">
        <f t="shared" si="21"/>
        <v>30511.250293119992</v>
      </c>
      <c r="N230" s="2"/>
    </row>
    <row r="231" spans="1:16">
      <c r="A231">
        <v>32</v>
      </c>
      <c r="E231" s="2">
        <v>2187.3579340800002</v>
      </c>
      <c r="F231">
        <v>2210.4</v>
      </c>
      <c r="J231">
        <f t="shared" si="19"/>
        <v>4397.7579340800003</v>
      </c>
      <c r="K231" s="2">
        <f t="shared" si="20"/>
        <v>2230.5994419199997</v>
      </c>
      <c r="L231" s="2">
        <f t="shared" si="21"/>
        <v>32741.849735039992</v>
      </c>
      <c r="N231" s="2"/>
    </row>
    <row r="232" spans="1:16">
      <c r="A232">
        <v>33</v>
      </c>
      <c r="E232" s="2">
        <v>2187.3579340800002</v>
      </c>
      <c r="F232">
        <v>2210.4</v>
      </c>
      <c r="J232">
        <f t="shared" si="19"/>
        <v>4397.7579340800003</v>
      </c>
      <c r="K232" s="2">
        <f t="shared" si="20"/>
        <v>2230.5994419199997</v>
      </c>
      <c r="L232" s="2">
        <f t="shared" si="21"/>
        <v>34972.449176959992</v>
      </c>
      <c r="N232" s="2"/>
    </row>
    <row r="233" spans="1:16">
      <c r="A233">
        <v>34</v>
      </c>
      <c r="E233" s="2">
        <v>2187.3579340800002</v>
      </c>
      <c r="F233">
        <v>2210.4</v>
      </c>
      <c r="J233">
        <f t="shared" si="19"/>
        <v>4397.7579340800003</v>
      </c>
      <c r="K233" s="2">
        <f t="shared" si="20"/>
        <v>2230.5994419199997</v>
      </c>
      <c r="L233" s="2">
        <f t="shared" si="21"/>
        <v>37203.048618879991</v>
      </c>
      <c r="N233" s="2"/>
    </row>
    <row r="234" spans="1:16">
      <c r="A234">
        <v>35</v>
      </c>
      <c r="E234" s="2">
        <v>2187.3579340800002</v>
      </c>
      <c r="F234">
        <v>2210.4</v>
      </c>
      <c r="H234">
        <v>70</v>
      </c>
      <c r="J234">
        <f t="shared" si="19"/>
        <v>4467.7579340800003</v>
      </c>
      <c r="K234" s="2">
        <f t="shared" si="20"/>
        <v>2260.5994419199997</v>
      </c>
      <c r="L234" s="2">
        <f>L233+K234+30</f>
        <v>39493.648060799991</v>
      </c>
      <c r="N234" s="2"/>
    </row>
    <row r="235" spans="1:16">
      <c r="B235">
        <f t="shared" ref="B235:H235" si="22">SUM(B200:B234)</f>
        <v>68082.14</v>
      </c>
      <c r="C235">
        <f t="shared" si="22"/>
        <v>5498.7999999999993</v>
      </c>
      <c r="D235">
        <f t="shared" si="22"/>
        <v>100</v>
      </c>
      <c r="E235">
        <f t="shared" si="22"/>
        <v>29913.309637199996</v>
      </c>
      <c r="F235">
        <f t="shared" si="22"/>
        <v>37012.680000000008</v>
      </c>
      <c r="G235">
        <f t="shared" si="22"/>
        <v>58874.999999999993</v>
      </c>
      <c r="H235">
        <f t="shared" si="22"/>
        <v>70</v>
      </c>
      <c r="J235">
        <f>SUM(J200:J234)</f>
        <v>199551.92963719994</v>
      </c>
      <c r="K235" s="2">
        <f>SUM(K200:K234)</f>
        <v>39463.648060799991</v>
      </c>
    </row>
    <row r="238" spans="1:16">
      <c r="A238" s="43" t="s">
        <v>62</v>
      </c>
      <c r="B238" s="43"/>
      <c r="C238" s="43"/>
      <c r="D238" s="43"/>
      <c r="E238" s="43"/>
    </row>
    <row r="239" spans="1:16">
      <c r="A239" s="10"/>
      <c r="B239" s="10"/>
      <c r="C239" s="10"/>
      <c r="D239" s="10"/>
      <c r="E239" s="10"/>
    </row>
    <row r="240" spans="1:16">
      <c r="H240" s="50" t="s">
        <v>122</v>
      </c>
      <c r="I240" s="51"/>
      <c r="J240" s="51"/>
      <c r="K240" s="51"/>
      <c r="L240" s="51"/>
      <c r="M240" s="51"/>
      <c r="N240" s="51"/>
      <c r="O240" s="51"/>
      <c r="P240" s="52"/>
    </row>
    <row r="241" spans="1:17">
      <c r="B241" s="40" t="s">
        <v>121</v>
      </c>
      <c r="C241" s="40"/>
      <c r="D241" s="40"/>
      <c r="E241" s="40"/>
      <c r="F241" s="40"/>
      <c r="G241" s="40"/>
      <c r="H241" s="38" t="s">
        <v>123</v>
      </c>
      <c r="I241" s="38"/>
      <c r="J241" s="39"/>
      <c r="K241" s="38" t="s">
        <v>124</v>
      </c>
      <c r="L241" s="38"/>
      <c r="M241" s="38"/>
      <c r="N241" s="38"/>
      <c r="O241" s="38"/>
      <c r="P241" s="49" t="s">
        <v>12</v>
      </c>
    </row>
    <row r="242" spans="1:17">
      <c r="B242" s="13" t="s">
        <v>50</v>
      </c>
      <c r="C242" s="14" t="s">
        <v>51</v>
      </c>
      <c r="D242" s="14" t="s">
        <v>52</v>
      </c>
      <c r="E242" s="14" t="s">
        <v>53</v>
      </c>
      <c r="F242" s="14" t="s">
        <v>54</v>
      </c>
      <c r="G242" s="15" t="s">
        <v>12</v>
      </c>
      <c r="H242" t="s">
        <v>55</v>
      </c>
      <c r="I242" t="s">
        <v>35</v>
      </c>
      <c r="J242" t="s">
        <v>56</v>
      </c>
      <c r="K242" s="16" t="s">
        <v>38</v>
      </c>
      <c r="L242" s="14" t="s">
        <v>57</v>
      </c>
      <c r="M242" s="14" t="s">
        <v>58</v>
      </c>
      <c r="N242" s="14" t="s">
        <v>59</v>
      </c>
      <c r="O242" s="14" t="s">
        <v>60</v>
      </c>
      <c r="P242" s="49"/>
      <c r="Q242" t="s">
        <v>61</v>
      </c>
    </row>
    <row r="243" spans="1:17">
      <c r="A243">
        <v>1</v>
      </c>
      <c r="B243" s="21">
        <v>0</v>
      </c>
      <c r="C243" s="14">
        <v>1045.6199999999999</v>
      </c>
      <c r="D243" s="14"/>
      <c r="E243" s="14"/>
      <c r="F243" s="14"/>
      <c r="G243" s="22">
        <f>P243</f>
        <v>1045.6199999999999</v>
      </c>
      <c r="K243" s="13">
        <v>1045.6199999999999</v>
      </c>
      <c r="L243" s="14"/>
      <c r="M243" s="14"/>
      <c r="N243" s="14"/>
      <c r="O243" s="23">
        <f>K243+L243+M243+N243</f>
        <v>1045.6199999999999</v>
      </c>
      <c r="P243" s="24">
        <f>J243+O243</f>
        <v>1045.6199999999999</v>
      </c>
      <c r="Q243" s="2">
        <f>J243/P243*100</f>
        <v>0</v>
      </c>
    </row>
    <row r="244" spans="1:17">
      <c r="A244">
        <v>2</v>
      </c>
      <c r="B244" s="21">
        <v>0</v>
      </c>
      <c r="C244" s="14">
        <v>12828.63</v>
      </c>
      <c r="D244" s="14"/>
      <c r="E244" s="14"/>
      <c r="F244" s="14"/>
      <c r="G244" s="22">
        <f t="shared" ref="G244:G277" si="23">P244</f>
        <v>12828.64</v>
      </c>
      <c r="I244">
        <v>9439.0499999999993</v>
      </c>
      <c r="J244">
        <f>H244+I244</f>
        <v>9439.0499999999993</v>
      </c>
      <c r="K244" s="13">
        <v>3389.59</v>
      </c>
      <c r="L244" s="14"/>
      <c r="M244" s="14"/>
      <c r="N244" s="14"/>
      <c r="O244" s="23">
        <f t="shared" ref="O244:O277" si="24">K244+L244+M244+N244</f>
        <v>3389.59</v>
      </c>
      <c r="P244" s="24">
        <f>J244+O244</f>
        <v>12828.64</v>
      </c>
      <c r="Q244" s="2">
        <f>J244/P244*100</f>
        <v>73.577947467541378</v>
      </c>
    </row>
    <row r="245" spans="1:17">
      <c r="A245">
        <v>3</v>
      </c>
      <c r="B245" s="21">
        <v>0</v>
      </c>
      <c r="C245" s="14">
        <v>31897.41</v>
      </c>
      <c r="D245" s="14"/>
      <c r="E245" s="14"/>
      <c r="F245" s="14"/>
      <c r="G245" s="22">
        <f t="shared" si="23"/>
        <v>31897.43</v>
      </c>
      <c r="I245">
        <v>24829.439999999999</v>
      </c>
      <c r="J245">
        <f t="shared" ref="J245:J277" si="25">H245+I245</f>
        <v>24829.439999999999</v>
      </c>
      <c r="K245" s="13">
        <v>7067.99</v>
      </c>
      <c r="L245" s="14"/>
      <c r="M245" s="14"/>
      <c r="N245" s="14"/>
      <c r="O245" s="23">
        <f t="shared" si="24"/>
        <v>7067.99</v>
      </c>
      <c r="P245" s="24">
        <f t="shared" ref="P245:P277" si="26">J245+O245</f>
        <v>31897.43</v>
      </c>
      <c r="Q245" s="2">
        <f t="shared" ref="Q245:Q277" si="27">J245/P245*100</f>
        <v>77.841506353333173</v>
      </c>
    </row>
    <row r="246" spans="1:17">
      <c r="A246">
        <v>4</v>
      </c>
      <c r="B246" s="21">
        <v>0</v>
      </c>
      <c r="C246" s="14">
        <v>58233.68</v>
      </c>
      <c r="D246" s="14"/>
      <c r="E246" s="14"/>
      <c r="F246" s="14"/>
      <c r="G246" s="22">
        <f t="shared" si="23"/>
        <v>58233.710000000006</v>
      </c>
      <c r="I246">
        <v>46228.98</v>
      </c>
      <c r="J246">
        <f t="shared" si="25"/>
        <v>46228.98</v>
      </c>
      <c r="K246" s="13">
        <v>12004.73</v>
      </c>
      <c r="L246" s="14"/>
      <c r="M246" s="14"/>
      <c r="N246" s="14"/>
      <c r="O246" s="23">
        <f t="shared" si="24"/>
        <v>12004.73</v>
      </c>
      <c r="P246" s="24">
        <f t="shared" si="26"/>
        <v>58233.710000000006</v>
      </c>
      <c r="Q246" s="2">
        <f t="shared" si="27"/>
        <v>79.385256409045553</v>
      </c>
    </row>
    <row r="247" spans="1:17">
      <c r="A247">
        <v>5</v>
      </c>
      <c r="B247" s="21">
        <f t="shared" ref="B247:B277" si="28">G247-C247-D247</f>
        <v>118.73986519999744</v>
      </c>
      <c r="C247" s="14">
        <v>72477.2</v>
      </c>
      <c r="D247" s="14"/>
      <c r="E247" s="14"/>
      <c r="F247" s="14"/>
      <c r="G247" s="22">
        <f t="shared" si="23"/>
        <v>72595.939865199995</v>
      </c>
      <c r="H247">
        <v>70</v>
      </c>
      <c r="I247">
        <v>57771.27</v>
      </c>
      <c r="J247">
        <f t="shared" si="25"/>
        <v>57841.27</v>
      </c>
      <c r="K247" s="13">
        <v>14735.97</v>
      </c>
      <c r="L247" s="14"/>
      <c r="M247" s="23">
        <v>18.699865199999909</v>
      </c>
      <c r="N247" s="14"/>
      <c r="O247" s="23">
        <f t="shared" si="24"/>
        <v>14754.6698652</v>
      </c>
      <c r="P247" s="24">
        <f t="shared" si="26"/>
        <v>72595.939865199995</v>
      </c>
      <c r="Q247" s="2">
        <f t="shared" si="27"/>
        <v>79.675626636149005</v>
      </c>
    </row>
    <row r="248" spans="1:17">
      <c r="A248">
        <v>6</v>
      </c>
      <c r="B248" s="21">
        <f t="shared" si="28"/>
        <v>139.27147160000459</v>
      </c>
      <c r="C248" s="14"/>
      <c r="D248" s="14">
        <f>C247-2943.24</f>
        <v>69533.959999999992</v>
      </c>
      <c r="E248" s="14"/>
      <c r="F248" s="14"/>
      <c r="G248" s="22">
        <f t="shared" si="23"/>
        <v>69673.231471599996</v>
      </c>
      <c r="H248">
        <v>70</v>
      </c>
      <c r="I248">
        <v>54828.03</v>
      </c>
      <c r="J248">
        <f t="shared" si="25"/>
        <v>54898.03</v>
      </c>
      <c r="K248" s="13">
        <v>14735.97</v>
      </c>
      <c r="L248" s="14"/>
      <c r="M248" s="23">
        <v>39.231471599999963</v>
      </c>
      <c r="N248" s="14"/>
      <c r="O248" s="23">
        <f t="shared" si="24"/>
        <v>14775.201471599999</v>
      </c>
      <c r="P248" s="24">
        <f t="shared" si="26"/>
        <v>69673.231471599996</v>
      </c>
      <c r="Q248" s="2">
        <f t="shared" si="27"/>
        <v>78.793575151422928</v>
      </c>
    </row>
    <row r="249" spans="1:17">
      <c r="A249">
        <v>7</v>
      </c>
      <c r="B249" s="21">
        <f t="shared" si="28"/>
        <v>178.9766454440105</v>
      </c>
      <c r="C249" s="14"/>
      <c r="D249" s="14">
        <f>D248-2943.24</f>
        <v>66590.719999999987</v>
      </c>
      <c r="E249" s="14"/>
      <c r="F249" s="14"/>
      <c r="G249" s="22">
        <f t="shared" si="23"/>
        <v>66769.696645443997</v>
      </c>
      <c r="H249">
        <v>70</v>
      </c>
      <c r="I249">
        <v>51884.79</v>
      </c>
      <c r="J249">
        <f t="shared" si="25"/>
        <v>51954.79</v>
      </c>
      <c r="K249" s="13">
        <v>14735.97</v>
      </c>
      <c r="L249" s="14"/>
      <c r="M249" s="23">
        <v>78.936645444000021</v>
      </c>
      <c r="N249" s="14"/>
      <c r="O249" s="23">
        <f t="shared" si="24"/>
        <v>14814.906645444</v>
      </c>
      <c r="P249" s="24">
        <f t="shared" si="26"/>
        <v>66769.696645443997</v>
      </c>
      <c r="Q249" s="2">
        <f t="shared" si="27"/>
        <v>77.811930576660956</v>
      </c>
    </row>
    <row r="250" spans="1:17">
      <c r="A250">
        <v>8</v>
      </c>
      <c r="B250" s="21">
        <f t="shared" si="28"/>
        <v>241.24310178801534</v>
      </c>
      <c r="C250" s="14"/>
      <c r="D250" s="14">
        <f t="shared" ref="D250:D270" si="29">D249-2943.24</f>
        <v>63647.479999999989</v>
      </c>
      <c r="E250" s="14"/>
      <c r="F250" s="14"/>
      <c r="G250" s="22">
        <f t="shared" si="23"/>
        <v>63888.723101788004</v>
      </c>
      <c r="H250">
        <v>70</v>
      </c>
      <c r="I250">
        <v>48941.55</v>
      </c>
      <c r="J250">
        <f t="shared" si="25"/>
        <v>49011.55</v>
      </c>
      <c r="K250" s="13">
        <v>14735.97</v>
      </c>
      <c r="L250" s="14"/>
      <c r="M250" s="23">
        <v>141.20310178800008</v>
      </c>
      <c r="N250" s="14"/>
      <c r="O250" s="23">
        <f t="shared" si="24"/>
        <v>14877.173101787999</v>
      </c>
      <c r="P250" s="24">
        <f t="shared" si="26"/>
        <v>63888.723101788004</v>
      </c>
      <c r="Q250" s="2">
        <f t="shared" si="27"/>
        <v>76.713929501947348</v>
      </c>
    </row>
    <row r="251" spans="1:17">
      <c r="A251">
        <v>9</v>
      </c>
      <c r="B251" s="21">
        <f t="shared" si="28"/>
        <v>326.07958813200821</v>
      </c>
      <c r="C251" s="14"/>
      <c r="D251" s="14">
        <f t="shared" si="29"/>
        <v>60704.239999999991</v>
      </c>
      <c r="E251" s="14"/>
      <c r="F251" s="14"/>
      <c r="G251" s="22">
        <f t="shared" si="23"/>
        <v>61030.319588131999</v>
      </c>
      <c r="H251">
        <v>70</v>
      </c>
      <c r="I251">
        <v>45998.32</v>
      </c>
      <c r="J251">
        <f t="shared" si="25"/>
        <v>46068.32</v>
      </c>
      <c r="K251" s="13">
        <v>14735.97</v>
      </c>
      <c r="L251" s="14"/>
      <c r="M251" s="23">
        <v>226.02958813200013</v>
      </c>
      <c r="N251" s="14"/>
      <c r="O251" s="23">
        <f t="shared" si="24"/>
        <v>14961.999588131999</v>
      </c>
      <c r="P251" s="24">
        <f t="shared" si="26"/>
        <v>61030.319588131999</v>
      </c>
      <c r="Q251" s="2">
        <f t="shared" si="27"/>
        <v>75.484317157268293</v>
      </c>
    </row>
    <row r="252" spans="1:17">
      <c r="A252">
        <v>10</v>
      </c>
      <c r="B252" s="21">
        <f t="shared" si="28"/>
        <v>412.24701942000684</v>
      </c>
      <c r="C252" s="14"/>
      <c r="D252" s="14">
        <f t="shared" si="29"/>
        <v>57760.999999999993</v>
      </c>
      <c r="E252" s="14"/>
      <c r="F252" s="14"/>
      <c r="G252" s="22">
        <f t="shared" si="23"/>
        <v>58173.24701942</v>
      </c>
      <c r="H252">
        <v>70</v>
      </c>
      <c r="I252">
        <v>43055.08</v>
      </c>
      <c r="J252">
        <f t="shared" si="25"/>
        <v>43125.08</v>
      </c>
      <c r="K252" s="13">
        <v>14735.97</v>
      </c>
      <c r="L252" s="14"/>
      <c r="M252" s="23">
        <v>312.19701942000017</v>
      </c>
      <c r="N252" s="14"/>
      <c r="O252" s="23">
        <f t="shared" si="24"/>
        <v>15048.16701942</v>
      </c>
      <c r="P252" s="24">
        <f t="shared" si="26"/>
        <v>58173.24701942</v>
      </c>
      <c r="Q252" s="2">
        <f t="shared" si="27"/>
        <v>74.132152165416414</v>
      </c>
    </row>
    <row r="253" spans="1:17">
      <c r="A253">
        <v>11</v>
      </c>
      <c r="B253" s="21">
        <f t="shared" si="28"/>
        <v>516.51751570800116</v>
      </c>
      <c r="C253" s="14"/>
      <c r="D253" s="14">
        <f t="shared" si="29"/>
        <v>54817.759999999995</v>
      </c>
      <c r="E253" s="14"/>
      <c r="F253" s="14"/>
      <c r="G253" s="22">
        <f t="shared" si="23"/>
        <v>55334.277515707996</v>
      </c>
      <c r="H253">
        <v>70</v>
      </c>
      <c r="I253">
        <v>40111.839999999997</v>
      </c>
      <c r="J253">
        <f t="shared" si="25"/>
        <v>40181.839999999997</v>
      </c>
      <c r="K253" s="13">
        <v>14735.97</v>
      </c>
      <c r="L253" s="14"/>
      <c r="M253" s="23">
        <v>416.46751570800024</v>
      </c>
      <c r="N253" s="14"/>
      <c r="O253" s="23">
        <f t="shared" si="24"/>
        <v>15152.437515707999</v>
      </c>
      <c r="P253" s="24">
        <f t="shared" si="26"/>
        <v>55334.277515707996</v>
      </c>
      <c r="Q253" s="2">
        <f t="shared" si="27"/>
        <v>72.616544037452002</v>
      </c>
    </row>
    <row r="254" spans="1:17">
      <c r="A254">
        <v>12</v>
      </c>
      <c r="B254" s="21">
        <f t="shared" si="28"/>
        <v>638.89007199600019</v>
      </c>
      <c r="C254" s="14"/>
      <c r="D254" s="14">
        <f t="shared" si="29"/>
        <v>51874.52</v>
      </c>
      <c r="E254" s="14"/>
      <c r="F254" s="14"/>
      <c r="G254" s="22">
        <f t="shared" si="23"/>
        <v>52513.410071995997</v>
      </c>
      <c r="H254">
        <v>70</v>
      </c>
      <c r="I254">
        <v>37168.6</v>
      </c>
      <c r="J254">
        <f t="shared" si="25"/>
        <v>37238.6</v>
      </c>
      <c r="K254" s="13">
        <v>14735.97</v>
      </c>
      <c r="L254" s="14"/>
      <c r="M254" s="23">
        <v>538.84007199600023</v>
      </c>
      <c r="N254" s="14"/>
      <c r="O254" s="23">
        <f t="shared" si="24"/>
        <v>15274.810071996</v>
      </c>
      <c r="P254" s="24">
        <f t="shared" si="26"/>
        <v>52513.410071995997</v>
      </c>
      <c r="Q254" s="2">
        <f t="shared" si="27"/>
        <v>70.912553477189533</v>
      </c>
    </row>
    <row r="255" spans="1:17">
      <c r="A255">
        <v>13</v>
      </c>
      <c r="B255" s="21">
        <f t="shared" si="28"/>
        <v>779.37569328400423</v>
      </c>
      <c r="C255" s="14"/>
      <c r="D255" s="14">
        <f t="shared" si="29"/>
        <v>48931.28</v>
      </c>
      <c r="E255" s="14"/>
      <c r="F255" s="14"/>
      <c r="G255" s="22">
        <f t="shared" si="23"/>
        <v>49710.655693284003</v>
      </c>
      <c r="H255">
        <v>70</v>
      </c>
      <c r="I255">
        <v>34166.14</v>
      </c>
      <c r="J255">
        <f t="shared" si="25"/>
        <v>34236.14</v>
      </c>
      <c r="K255" s="13">
        <v>14735.97</v>
      </c>
      <c r="L255" s="14"/>
      <c r="M255" s="23">
        <v>679.3156932840003</v>
      </c>
      <c r="N255" s="14">
        <v>59.23</v>
      </c>
      <c r="O255" s="23">
        <f t="shared" si="24"/>
        <v>15474.515693284</v>
      </c>
      <c r="P255" s="24">
        <f t="shared" si="26"/>
        <v>49710.655693284003</v>
      </c>
      <c r="Q255" s="2">
        <f t="shared" si="27"/>
        <v>68.87082763751468</v>
      </c>
    </row>
    <row r="256" spans="1:17">
      <c r="A256">
        <v>14</v>
      </c>
      <c r="B256" s="21">
        <f t="shared" si="28"/>
        <v>938.31818957199721</v>
      </c>
      <c r="C256" s="14"/>
      <c r="D256" s="14">
        <f t="shared" si="29"/>
        <v>45988.04</v>
      </c>
      <c r="E256" s="14"/>
      <c r="F256" s="14"/>
      <c r="G256" s="22">
        <f t="shared" si="23"/>
        <v>46926.358189571998</v>
      </c>
      <c r="H256">
        <v>70</v>
      </c>
      <c r="I256">
        <v>31059.03</v>
      </c>
      <c r="J256">
        <f t="shared" si="25"/>
        <v>31129.03</v>
      </c>
      <c r="K256" s="13">
        <v>14735.97</v>
      </c>
      <c r="L256" s="14"/>
      <c r="M256" s="23">
        <v>838.25818957200033</v>
      </c>
      <c r="N256" s="14">
        <v>223.1</v>
      </c>
      <c r="O256" s="23">
        <f t="shared" si="24"/>
        <v>15797.328189571999</v>
      </c>
      <c r="P256" s="24">
        <f t="shared" si="26"/>
        <v>46926.358189571998</v>
      </c>
      <c r="Q256" s="2">
        <f t="shared" si="27"/>
        <v>66.335916957897467</v>
      </c>
    </row>
    <row r="257" spans="1:18">
      <c r="A257">
        <v>15</v>
      </c>
      <c r="B257" s="21">
        <f t="shared" si="28"/>
        <v>1117.6410808599903</v>
      </c>
      <c r="C257" s="14"/>
      <c r="D257" s="14">
        <f t="shared" si="29"/>
        <v>43044.800000000003</v>
      </c>
      <c r="E257" s="14"/>
      <c r="F257" s="14"/>
      <c r="G257" s="22">
        <f t="shared" si="23"/>
        <v>44162.441080859993</v>
      </c>
      <c r="H257">
        <v>70</v>
      </c>
      <c r="I257">
        <v>27836.42</v>
      </c>
      <c r="J257">
        <f t="shared" si="25"/>
        <v>27906.42</v>
      </c>
      <c r="K257" s="13">
        <v>14735.97</v>
      </c>
      <c r="L257" s="14"/>
      <c r="M257" s="23">
        <v>1017.5810808600004</v>
      </c>
      <c r="N257" s="14">
        <v>502.47</v>
      </c>
      <c r="O257" s="23">
        <f t="shared" si="24"/>
        <v>16256.021080859999</v>
      </c>
      <c r="P257" s="24">
        <f t="shared" si="26"/>
        <v>44162.441080859993</v>
      </c>
      <c r="Q257" s="2">
        <f t="shared" si="27"/>
        <v>63.19039282476313</v>
      </c>
    </row>
    <row r="258" spans="1:18">
      <c r="A258">
        <v>16</v>
      </c>
      <c r="B258" s="21">
        <f t="shared" si="28"/>
        <v>1316.7855871479915</v>
      </c>
      <c r="C258" s="14"/>
      <c r="D258" s="14">
        <f t="shared" si="29"/>
        <v>40101.560000000005</v>
      </c>
      <c r="E258" s="14"/>
      <c r="F258" s="14"/>
      <c r="G258" s="22">
        <f t="shared" si="23"/>
        <v>41418.345587147996</v>
      </c>
      <c r="H258">
        <v>70</v>
      </c>
      <c r="I258">
        <v>24501.5</v>
      </c>
      <c r="J258">
        <f t="shared" si="25"/>
        <v>24571.5</v>
      </c>
      <c r="K258" s="13">
        <v>14735.97</v>
      </c>
      <c r="L258" s="14"/>
      <c r="M258" s="23">
        <v>1216.7255871480004</v>
      </c>
      <c r="N258" s="14">
        <v>894.15</v>
      </c>
      <c r="O258" s="23">
        <f t="shared" si="24"/>
        <v>16846.845587148</v>
      </c>
      <c r="P258" s="24">
        <f t="shared" si="26"/>
        <v>41418.345587147996</v>
      </c>
      <c r="Q258" s="2">
        <f t="shared" si="27"/>
        <v>59.325160509608743</v>
      </c>
    </row>
    <row r="259" spans="1:18">
      <c r="A259">
        <v>17</v>
      </c>
      <c r="B259" s="21">
        <f t="shared" si="28"/>
        <v>1536.4411384359919</v>
      </c>
      <c r="C259" s="14"/>
      <c r="D259" s="14">
        <f t="shared" si="29"/>
        <v>37158.320000000007</v>
      </c>
      <c r="E259" s="14"/>
      <c r="F259" s="14"/>
      <c r="G259" s="22">
        <f t="shared" si="23"/>
        <v>38694.761138435999</v>
      </c>
      <c r="H259">
        <v>70</v>
      </c>
      <c r="I259">
        <v>21050.34</v>
      </c>
      <c r="J259">
        <f t="shared" si="25"/>
        <v>21120.34</v>
      </c>
      <c r="K259" s="13">
        <v>14735.97</v>
      </c>
      <c r="L259" s="14"/>
      <c r="M259" s="23">
        <v>1436.3811384360004</v>
      </c>
      <c r="N259" s="14">
        <v>1402.07</v>
      </c>
      <c r="O259" s="23">
        <f t="shared" si="24"/>
        <v>17574.421138435999</v>
      </c>
      <c r="P259" s="24">
        <f t="shared" si="26"/>
        <v>38694.761138435999</v>
      </c>
      <c r="Q259" s="2">
        <f t="shared" si="27"/>
        <v>54.581910777117827</v>
      </c>
    </row>
    <row r="260" spans="1:18">
      <c r="A260">
        <v>18</v>
      </c>
      <c r="B260" s="21">
        <f t="shared" si="28"/>
        <v>1777.324299723994</v>
      </c>
      <c r="C260" s="14"/>
      <c r="D260" s="14">
        <f t="shared" si="29"/>
        <v>34215.080000000009</v>
      </c>
      <c r="E260" s="14"/>
      <c r="F260" s="14"/>
      <c r="G260" s="22">
        <f t="shared" si="23"/>
        <v>35992.404299724003</v>
      </c>
      <c r="H260">
        <v>70</v>
      </c>
      <c r="I260">
        <v>17478.900000000001</v>
      </c>
      <c r="J260">
        <f t="shared" si="25"/>
        <v>17548.900000000001</v>
      </c>
      <c r="K260" s="13">
        <v>14735.97</v>
      </c>
      <c r="L260" s="14"/>
      <c r="M260" s="23">
        <v>1677.2642997240005</v>
      </c>
      <c r="N260" s="14">
        <v>2030.27</v>
      </c>
      <c r="O260" s="23">
        <f t="shared" si="24"/>
        <v>18443.504299724002</v>
      </c>
      <c r="P260" s="24">
        <f t="shared" si="26"/>
        <v>35992.404299724003</v>
      </c>
      <c r="Q260" s="2">
        <f t="shared" si="27"/>
        <v>48.757231814420827</v>
      </c>
    </row>
    <row r="261" spans="1:18">
      <c r="A261">
        <v>19</v>
      </c>
      <c r="B261" s="21">
        <f t="shared" si="28"/>
        <v>2040.1837460119859</v>
      </c>
      <c r="C261" s="14"/>
      <c r="D261" s="14">
        <f t="shared" si="29"/>
        <v>31271.840000000011</v>
      </c>
      <c r="E261" s="14"/>
      <c r="F261" s="14"/>
      <c r="G261" s="22">
        <f t="shared" si="23"/>
        <v>33312.023746011997</v>
      </c>
      <c r="H261">
        <v>70</v>
      </c>
      <c r="I261">
        <v>13782.99</v>
      </c>
      <c r="J261">
        <f t="shared" si="25"/>
        <v>13852.99</v>
      </c>
      <c r="K261" s="13">
        <v>14735.97</v>
      </c>
      <c r="L261" s="14"/>
      <c r="M261" s="23">
        <v>1940.1137460120005</v>
      </c>
      <c r="N261" s="14">
        <v>2782.95</v>
      </c>
      <c r="O261" s="23">
        <f t="shared" si="24"/>
        <v>19459.033746011999</v>
      </c>
      <c r="P261" s="24">
        <f t="shared" si="26"/>
        <v>33312.023746011997</v>
      </c>
      <c r="Q261" s="2">
        <f t="shared" si="27"/>
        <v>41.585555130550823</v>
      </c>
    </row>
    <row r="262" spans="1:18">
      <c r="A262">
        <v>20</v>
      </c>
      <c r="B262" s="21">
        <f t="shared" si="28"/>
        <v>2325.7652872999824</v>
      </c>
      <c r="C262" s="14"/>
      <c r="D262" s="14">
        <f t="shared" si="29"/>
        <v>28328.600000000013</v>
      </c>
      <c r="E262" s="14"/>
      <c r="F262" s="14"/>
      <c r="G262" s="22">
        <f t="shared" si="23"/>
        <v>30654.365287299996</v>
      </c>
      <c r="H262">
        <v>70</v>
      </c>
      <c r="I262">
        <v>9958.26</v>
      </c>
      <c r="J262">
        <f t="shared" si="25"/>
        <v>10028.26</v>
      </c>
      <c r="K262" s="13">
        <v>14735.97</v>
      </c>
      <c r="L262" s="14"/>
      <c r="M262" s="23">
        <v>2225.6952873000005</v>
      </c>
      <c r="N262" s="14">
        <v>3664.44</v>
      </c>
      <c r="O262" s="23">
        <f t="shared" si="24"/>
        <v>20626.105287299997</v>
      </c>
      <c r="P262" s="24">
        <f t="shared" si="26"/>
        <v>30654.365287299996</v>
      </c>
      <c r="Q262" s="2">
        <f t="shared" si="27"/>
        <v>32.713970444381296</v>
      </c>
    </row>
    <row r="263" spans="1:18">
      <c r="A263">
        <v>21</v>
      </c>
      <c r="B263" s="21">
        <f t="shared" si="28"/>
        <v>2634.8708635879884</v>
      </c>
      <c r="C263" s="14"/>
      <c r="D263" s="14">
        <f t="shared" si="29"/>
        <v>25385.360000000015</v>
      </c>
      <c r="E263" s="14"/>
      <c r="F263" s="14"/>
      <c r="G263" s="22">
        <f t="shared" si="23"/>
        <v>28020.230863588004</v>
      </c>
      <c r="H263">
        <v>70</v>
      </c>
      <c r="I263">
        <v>6000.22</v>
      </c>
      <c r="J263">
        <f t="shared" si="25"/>
        <v>6070.22</v>
      </c>
      <c r="K263" s="13">
        <v>14735.97</v>
      </c>
      <c r="L263" s="14"/>
      <c r="M263" s="23">
        <v>2534.8008635880005</v>
      </c>
      <c r="N263" s="14">
        <v>4679.24</v>
      </c>
      <c r="O263" s="23">
        <f t="shared" si="24"/>
        <v>21950.010863588002</v>
      </c>
      <c r="P263" s="24">
        <f t="shared" si="26"/>
        <v>28020.230863588004</v>
      </c>
      <c r="Q263" s="2">
        <f t="shared" si="27"/>
        <v>21.663704448232036</v>
      </c>
    </row>
    <row r="264" spans="1:18">
      <c r="A264">
        <v>22</v>
      </c>
      <c r="B264" s="21">
        <f t="shared" si="28"/>
        <v>2968.3205548759834</v>
      </c>
      <c r="C264" s="14"/>
      <c r="D264" s="14">
        <f t="shared" si="29"/>
        <v>22442.120000000017</v>
      </c>
      <c r="E264" s="14"/>
      <c r="F264" s="14"/>
      <c r="G264" s="22">
        <f t="shared" si="23"/>
        <v>25410.440554876001</v>
      </c>
      <c r="H264">
        <v>70</v>
      </c>
      <c r="I264">
        <v>1904.23</v>
      </c>
      <c r="J264">
        <f t="shared" si="25"/>
        <v>1974.23</v>
      </c>
      <c r="K264" s="13">
        <v>14735.97</v>
      </c>
      <c r="L264" s="14"/>
      <c r="M264" s="23">
        <v>2868.2505548760005</v>
      </c>
      <c r="N264" s="14">
        <v>5831.99</v>
      </c>
      <c r="O264" s="23">
        <f t="shared" si="24"/>
        <v>23436.210554876001</v>
      </c>
      <c r="P264" s="24">
        <f t="shared" si="26"/>
        <v>25410.440554876001</v>
      </c>
      <c r="Q264" s="2">
        <f t="shared" si="27"/>
        <v>7.7693654926465472</v>
      </c>
      <c r="R264" s="2"/>
    </row>
    <row r="265" spans="1:18">
      <c r="A265">
        <v>23</v>
      </c>
      <c r="B265" s="21">
        <f t="shared" si="28"/>
        <v>5661.4835861639804</v>
      </c>
      <c r="C265" s="14"/>
      <c r="D265" s="14">
        <f t="shared" si="29"/>
        <v>19498.880000000019</v>
      </c>
      <c r="E265" s="14"/>
      <c r="F265" s="14"/>
      <c r="G265" s="22">
        <f t="shared" si="23"/>
        <v>25160.363586164</v>
      </c>
      <c r="H265">
        <v>70</v>
      </c>
      <c r="J265">
        <f t="shared" si="25"/>
        <v>70</v>
      </c>
      <c r="K265" s="13">
        <v>14735.97</v>
      </c>
      <c r="L265" s="14"/>
      <c r="M265" s="23">
        <v>3226.8935861640007</v>
      </c>
      <c r="N265" s="14">
        <v>7127.5</v>
      </c>
      <c r="O265" s="23">
        <f t="shared" si="24"/>
        <v>25090.363586164</v>
      </c>
      <c r="P265" s="24">
        <f t="shared" si="26"/>
        <v>25160.363586164</v>
      </c>
      <c r="Q265" s="2">
        <f t="shared" si="27"/>
        <v>0.27821537538707858</v>
      </c>
      <c r="R265" s="2"/>
    </row>
    <row r="266" spans="1:18">
      <c r="A266">
        <v>24</v>
      </c>
      <c r="B266" s="21">
        <f t="shared" si="28"/>
        <v>8975.0778824519803</v>
      </c>
      <c r="C266" s="14"/>
      <c r="D266" s="14">
        <f t="shared" si="29"/>
        <v>16555.640000000021</v>
      </c>
      <c r="E266" s="14"/>
      <c r="F266" s="14"/>
      <c r="G266" s="22">
        <f t="shared" si="23"/>
        <v>25530.717882452002</v>
      </c>
      <c r="H266">
        <v>70</v>
      </c>
      <c r="J266">
        <f t="shared" si="25"/>
        <v>70</v>
      </c>
      <c r="K266" s="13">
        <v>14735.97</v>
      </c>
      <c r="L266" s="14"/>
      <c r="M266" s="23">
        <v>3597.2478824520008</v>
      </c>
      <c r="N266" s="14">
        <v>7127.5</v>
      </c>
      <c r="O266" s="23">
        <f t="shared" si="24"/>
        <v>25460.717882452002</v>
      </c>
      <c r="P266" s="24">
        <f t="shared" si="26"/>
        <v>25530.717882452002</v>
      </c>
      <c r="Q266" s="2">
        <f t="shared" si="27"/>
        <v>0.27417952100795812</v>
      </c>
    </row>
    <row r="267" spans="1:18">
      <c r="A267">
        <v>25</v>
      </c>
      <c r="B267" s="21">
        <f t="shared" si="28"/>
        <v>12288.672178739978</v>
      </c>
      <c r="C267" s="14"/>
      <c r="D267" s="14">
        <f t="shared" si="29"/>
        <v>13612.400000000021</v>
      </c>
      <c r="E267" s="14"/>
      <c r="F267" s="14"/>
      <c r="G267" s="22">
        <f t="shared" si="23"/>
        <v>25901.07217874</v>
      </c>
      <c r="H267">
        <v>70</v>
      </c>
      <c r="J267">
        <f t="shared" si="25"/>
        <v>70</v>
      </c>
      <c r="K267" s="13">
        <v>14735.97</v>
      </c>
      <c r="L267" s="14"/>
      <c r="M267" s="23">
        <v>3967.6021787400009</v>
      </c>
      <c r="N267" s="14">
        <v>7127.5</v>
      </c>
      <c r="O267" s="23">
        <f t="shared" si="24"/>
        <v>25831.07217874</v>
      </c>
      <c r="P267" s="24">
        <f t="shared" si="26"/>
        <v>25901.07217874</v>
      </c>
      <c r="Q267" s="2">
        <f t="shared" si="27"/>
        <v>0.2702590823921841</v>
      </c>
    </row>
    <row r="268" spans="1:18">
      <c r="A268">
        <v>26</v>
      </c>
      <c r="B268" s="21">
        <f t="shared" si="28"/>
        <v>15602.266475027976</v>
      </c>
      <c r="C268" s="14"/>
      <c r="D268" s="14">
        <f t="shared" si="29"/>
        <v>10669.160000000022</v>
      </c>
      <c r="E268" s="14"/>
      <c r="F268" s="14"/>
      <c r="G268" s="22">
        <f t="shared" si="23"/>
        <v>26271.426475027998</v>
      </c>
      <c r="H268">
        <v>70</v>
      </c>
      <c r="J268">
        <f t="shared" si="25"/>
        <v>70</v>
      </c>
      <c r="K268" s="13">
        <v>14735.97</v>
      </c>
      <c r="L268" s="14"/>
      <c r="M268" s="23">
        <v>4337.9564750280006</v>
      </c>
      <c r="N268" s="14">
        <v>7127.5</v>
      </c>
      <c r="O268" s="23">
        <f t="shared" si="24"/>
        <v>26201.426475027998</v>
      </c>
      <c r="P268" s="24">
        <f t="shared" si="26"/>
        <v>26271.426475027998</v>
      </c>
      <c r="Q268" s="2">
        <f t="shared" si="27"/>
        <v>0.26644917841266702</v>
      </c>
    </row>
    <row r="269" spans="1:18">
      <c r="A269">
        <v>27</v>
      </c>
      <c r="B269" s="21">
        <f t="shared" si="28"/>
        <v>18915.86077131598</v>
      </c>
      <c r="C269" s="14"/>
      <c r="D269" s="14">
        <f t="shared" si="29"/>
        <v>7725.9200000000219</v>
      </c>
      <c r="E269" s="14"/>
      <c r="F269" s="14"/>
      <c r="G269" s="22">
        <f t="shared" si="23"/>
        <v>26641.780771316</v>
      </c>
      <c r="H269">
        <v>70</v>
      </c>
      <c r="J269">
        <f t="shared" si="25"/>
        <v>70</v>
      </c>
      <c r="K269" s="13">
        <v>14735.97</v>
      </c>
      <c r="L269" s="14"/>
      <c r="M269" s="23">
        <v>4708.3107713160007</v>
      </c>
      <c r="N269" s="14">
        <v>7127.5</v>
      </c>
      <c r="O269" s="23">
        <f t="shared" si="24"/>
        <v>26571.780771316</v>
      </c>
      <c r="P269" s="24">
        <f t="shared" si="26"/>
        <v>26641.780771316</v>
      </c>
      <c r="Q269" s="2">
        <f t="shared" si="27"/>
        <v>0.26274519935756635</v>
      </c>
    </row>
    <row r="270" spans="1:18">
      <c r="A270">
        <v>28</v>
      </c>
      <c r="B270" s="21">
        <f t="shared" si="28"/>
        <v>22229.45506760398</v>
      </c>
      <c r="C270" s="14"/>
      <c r="D270" s="14">
        <f t="shared" si="29"/>
        <v>4782.6800000000221</v>
      </c>
      <c r="E270" s="14"/>
      <c r="F270" s="14"/>
      <c r="G270" s="22">
        <f t="shared" si="23"/>
        <v>27012.135067604002</v>
      </c>
      <c r="H270">
        <v>70</v>
      </c>
      <c r="J270">
        <f t="shared" si="25"/>
        <v>70</v>
      </c>
      <c r="K270" s="13">
        <v>14735.97</v>
      </c>
      <c r="L270" s="14"/>
      <c r="M270" s="23">
        <v>5078.6650676040008</v>
      </c>
      <c r="N270" s="14">
        <v>7127.5</v>
      </c>
      <c r="O270" s="23">
        <f t="shared" si="24"/>
        <v>26942.135067604002</v>
      </c>
      <c r="P270" s="24">
        <f t="shared" si="26"/>
        <v>27012.135067604002</v>
      </c>
      <c r="Q270" s="2">
        <f t="shared" si="27"/>
        <v>0.25914278832387405</v>
      </c>
    </row>
    <row r="271" spans="1:18">
      <c r="A271">
        <v>29</v>
      </c>
      <c r="B271" s="21">
        <f t="shared" si="28"/>
        <v>25543.04936389198</v>
      </c>
      <c r="C271" s="14"/>
      <c r="D271" s="14">
        <f>D270-2943.24</f>
        <v>1839.4400000000223</v>
      </c>
      <c r="E271" s="14"/>
      <c r="F271" s="14"/>
      <c r="G271" s="22">
        <f t="shared" si="23"/>
        <v>27382.489363892</v>
      </c>
      <c r="H271">
        <v>70</v>
      </c>
      <c r="J271">
        <f t="shared" si="25"/>
        <v>70</v>
      </c>
      <c r="K271" s="13">
        <v>14735.97</v>
      </c>
      <c r="L271" s="14"/>
      <c r="M271" s="23">
        <v>5449.0193638920009</v>
      </c>
      <c r="N271" s="14">
        <v>7127.5</v>
      </c>
      <c r="O271" s="23">
        <f t="shared" si="24"/>
        <v>27312.489363892</v>
      </c>
      <c r="P271" s="24">
        <f t="shared" si="26"/>
        <v>27382.489363892</v>
      </c>
      <c r="Q271" s="2">
        <f t="shared" si="27"/>
        <v>0.25563782412093511</v>
      </c>
    </row>
    <row r="272" spans="1:18">
      <c r="A272">
        <v>30</v>
      </c>
      <c r="B272" s="21">
        <f t="shared" si="28"/>
        <v>28380.629530180002</v>
      </c>
      <c r="C272" s="14"/>
      <c r="D272" s="14"/>
      <c r="E272" s="14"/>
      <c r="F272" s="14"/>
      <c r="G272" s="22">
        <f t="shared" si="23"/>
        <v>28380.629530180002</v>
      </c>
      <c r="H272">
        <v>70</v>
      </c>
      <c r="J272">
        <f t="shared" si="25"/>
        <v>70</v>
      </c>
      <c r="K272" s="13">
        <v>14735.97</v>
      </c>
      <c r="L272" s="14"/>
      <c r="M272" s="23">
        <v>5930.2995301800011</v>
      </c>
      <c r="N272" s="14">
        <v>7644.36</v>
      </c>
      <c r="O272" s="23">
        <f t="shared" si="24"/>
        <v>28310.629530180002</v>
      </c>
      <c r="P272" s="24">
        <f t="shared" si="26"/>
        <v>28380.629530180002</v>
      </c>
      <c r="Q272" s="2">
        <f t="shared" si="27"/>
        <v>0.24664710106434354</v>
      </c>
    </row>
    <row r="273" spans="1:17">
      <c r="A273">
        <v>31</v>
      </c>
      <c r="B273" s="21">
        <f t="shared" si="28"/>
        <v>30611.229446468002</v>
      </c>
      <c r="C273" s="14"/>
      <c r="D273" s="14"/>
      <c r="E273" s="14"/>
      <c r="F273" s="14"/>
      <c r="G273" s="22">
        <f t="shared" si="23"/>
        <v>30611.229446468002</v>
      </c>
      <c r="H273">
        <v>70</v>
      </c>
      <c r="J273">
        <f t="shared" si="25"/>
        <v>70</v>
      </c>
      <c r="K273" s="13">
        <v>14735.97</v>
      </c>
      <c r="L273" s="14"/>
      <c r="M273" s="23">
        <v>6596.449446468001</v>
      </c>
      <c r="N273" s="14">
        <v>9208.81</v>
      </c>
      <c r="O273" s="23">
        <f t="shared" si="24"/>
        <v>30541.229446468002</v>
      </c>
      <c r="P273" s="24">
        <f t="shared" si="26"/>
        <v>30611.229446468002</v>
      </c>
      <c r="Q273" s="2">
        <f t="shared" si="27"/>
        <v>0.22867425211526995</v>
      </c>
    </row>
    <row r="274" spans="1:17">
      <c r="A274">
        <v>32</v>
      </c>
      <c r="B274" s="21">
        <f t="shared" si="28"/>
        <v>32841.829362755998</v>
      </c>
      <c r="C274" s="14"/>
      <c r="D274" s="14"/>
      <c r="E274" s="14"/>
      <c r="F274" s="14"/>
      <c r="G274" s="22">
        <f t="shared" si="23"/>
        <v>32841.829362755998</v>
      </c>
      <c r="H274">
        <v>70</v>
      </c>
      <c r="J274">
        <f t="shared" si="25"/>
        <v>70</v>
      </c>
      <c r="K274" s="13">
        <v>14735.97</v>
      </c>
      <c r="L274" s="14"/>
      <c r="M274" s="23">
        <v>7262.599362756001</v>
      </c>
      <c r="N274" s="14">
        <v>10773.26</v>
      </c>
      <c r="O274" s="23">
        <f t="shared" si="24"/>
        <v>32771.829362755998</v>
      </c>
      <c r="P274" s="24">
        <f t="shared" si="26"/>
        <v>32841.829362755998</v>
      </c>
      <c r="Q274" s="2">
        <f t="shared" si="27"/>
        <v>0.21314281621407763</v>
      </c>
    </row>
    <row r="275" spans="1:17">
      <c r="A275">
        <v>33</v>
      </c>
      <c r="B275" s="21">
        <f t="shared" si="28"/>
        <v>35072.429279044001</v>
      </c>
      <c r="C275" s="14"/>
      <c r="D275" s="14"/>
      <c r="E275" s="14"/>
      <c r="F275" s="14"/>
      <c r="G275" s="22">
        <f t="shared" si="23"/>
        <v>35072.429279044001</v>
      </c>
      <c r="H275">
        <v>70</v>
      </c>
      <c r="J275">
        <f t="shared" si="25"/>
        <v>70</v>
      </c>
      <c r="K275" s="13">
        <v>14735.97</v>
      </c>
      <c r="L275" s="14"/>
      <c r="M275" s="23">
        <v>7928.749279044001</v>
      </c>
      <c r="N275" s="14">
        <v>12337.71</v>
      </c>
      <c r="O275" s="23">
        <f t="shared" si="24"/>
        <v>35002.429279044001</v>
      </c>
      <c r="P275" s="24">
        <f t="shared" si="26"/>
        <v>35072.429279044001</v>
      </c>
      <c r="Q275" s="2">
        <f t="shared" si="27"/>
        <v>0.19958697312656765</v>
      </c>
    </row>
    <row r="276" spans="1:17">
      <c r="A276">
        <v>34</v>
      </c>
      <c r="B276" s="21">
        <f t="shared" si="28"/>
        <v>37303.029195331997</v>
      </c>
      <c r="C276" s="14"/>
      <c r="D276" s="14"/>
      <c r="E276" s="14"/>
      <c r="F276" s="14"/>
      <c r="G276" s="22">
        <f t="shared" si="23"/>
        <v>37303.029195331997</v>
      </c>
      <c r="H276">
        <v>70</v>
      </c>
      <c r="J276">
        <f t="shared" si="25"/>
        <v>70</v>
      </c>
      <c r="K276" s="13">
        <v>14735.97</v>
      </c>
      <c r="L276" s="14"/>
      <c r="M276" s="23">
        <v>8594.8991953320001</v>
      </c>
      <c r="N276" s="14">
        <v>13902.16</v>
      </c>
      <c r="O276" s="23">
        <f t="shared" si="24"/>
        <v>37233.029195331997</v>
      </c>
      <c r="P276" s="24">
        <f t="shared" si="26"/>
        <v>37303.029195331997</v>
      </c>
      <c r="Q276" s="2">
        <f t="shared" si="27"/>
        <v>0.18765232076316102</v>
      </c>
    </row>
    <row r="277" spans="1:17">
      <c r="A277">
        <v>35</v>
      </c>
      <c r="B277" s="21">
        <f t="shared" si="28"/>
        <v>39533.629111620001</v>
      </c>
      <c r="C277" s="14"/>
      <c r="D277" s="14"/>
      <c r="E277" s="14"/>
      <c r="F277" s="14"/>
      <c r="G277" s="22">
        <f t="shared" si="23"/>
        <v>39533.629111620001</v>
      </c>
      <c r="H277">
        <v>70</v>
      </c>
      <c r="J277">
        <f t="shared" si="25"/>
        <v>70</v>
      </c>
      <c r="K277" s="13">
        <v>14735.97</v>
      </c>
      <c r="L277" s="14"/>
      <c r="M277" s="23">
        <v>9261.0491116199992</v>
      </c>
      <c r="N277" s="14">
        <v>15466.61</v>
      </c>
      <c r="O277" s="23">
        <f t="shared" si="24"/>
        <v>39463.629111620001</v>
      </c>
      <c r="P277" s="24">
        <f t="shared" si="26"/>
        <v>39533.629111620001</v>
      </c>
      <c r="Q277" s="2">
        <f t="shared" si="27"/>
        <v>0.17706444253412879</v>
      </c>
    </row>
    <row r="278" spans="1:17">
      <c r="Q278" s="2"/>
    </row>
    <row r="279" spans="1:17">
      <c r="M279" s="2"/>
    </row>
    <row r="281" spans="1:17">
      <c r="A281" s="43" t="s">
        <v>113</v>
      </c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</row>
    <row r="283" spans="1:17">
      <c r="B283" s="40" t="s">
        <v>64</v>
      </c>
      <c r="C283" s="40"/>
      <c r="D283" s="40"/>
      <c r="E283" s="40"/>
      <c r="F283" s="37" t="s">
        <v>67</v>
      </c>
      <c r="G283" s="38"/>
      <c r="H283" s="38"/>
      <c r="I283" s="38"/>
      <c r="J283" s="38"/>
      <c r="K283" s="39"/>
    </row>
    <row r="284" spans="1:17">
      <c r="B284" t="s">
        <v>63</v>
      </c>
      <c r="C284" t="s">
        <v>40</v>
      </c>
      <c r="D284" t="s">
        <v>41</v>
      </c>
      <c r="E284" t="s">
        <v>12</v>
      </c>
      <c r="F284" s="13" t="s">
        <v>44</v>
      </c>
      <c r="G284" s="14" t="s">
        <v>45</v>
      </c>
      <c r="H284" s="14" t="s">
        <v>65</v>
      </c>
      <c r="I284" s="14" t="s">
        <v>66</v>
      </c>
      <c r="J284" s="14" t="s">
        <v>21</v>
      </c>
      <c r="K284" s="15" t="s">
        <v>12</v>
      </c>
      <c r="L284" t="s">
        <v>68</v>
      </c>
      <c r="M284" t="s">
        <v>69</v>
      </c>
      <c r="N284" t="s">
        <v>70</v>
      </c>
      <c r="O284" t="s">
        <v>71</v>
      </c>
    </row>
    <row r="285" spans="1:17">
      <c r="A285">
        <v>1</v>
      </c>
      <c r="F285" s="13">
        <f>B19</f>
        <v>1045.6199999999999</v>
      </c>
      <c r="G285" s="14"/>
      <c r="H285" s="14"/>
      <c r="I285" s="14"/>
      <c r="J285" s="14"/>
      <c r="K285" s="22">
        <f>F285+G285+H285+I285+J285</f>
        <v>1045.6199999999999</v>
      </c>
      <c r="L285" s="2">
        <f>E285-K285</f>
        <v>-1045.6199999999999</v>
      </c>
      <c r="M285" s="2">
        <f>L285</f>
        <v>-1045.6199999999999</v>
      </c>
      <c r="N285" s="2">
        <f>L285+J285</f>
        <v>-1045.6199999999999</v>
      </c>
      <c r="O285" s="2">
        <f>N285</f>
        <v>-1045.6199999999999</v>
      </c>
    </row>
    <row r="286" spans="1:17">
      <c r="A286">
        <v>2</v>
      </c>
      <c r="F286" s="13">
        <f>B20</f>
        <v>11502.75</v>
      </c>
      <c r="G286" s="14"/>
      <c r="H286" s="14"/>
      <c r="I286" s="14"/>
      <c r="J286" s="14"/>
      <c r="K286" s="22">
        <f t="shared" ref="K286:K319" si="30">F286+G286+H286+I286+J286</f>
        <v>11502.75</v>
      </c>
      <c r="L286" s="2">
        <f t="shared" ref="L286:L319" si="31">E286-K286</f>
        <v>-11502.75</v>
      </c>
      <c r="M286" s="2">
        <f>M285+L286</f>
        <v>-12548.369999999999</v>
      </c>
      <c r="N286" s="2">
        <f t="shared" ref="N286:N319" si="32">L286+J286</f>
        <v>-11502.75</v>
      </c>
      <c r="O286" s="2">
        <f>O285+N286</f>
        <v>-12548.369999999999</v>
      </c>
    </row>
    <row r="287" spans="1:17">
      <c r="A287">
        <v>3</v>
      </c>
      <c r="F287" s="13">
        <f>B21</f>
        <v>18051.3</v>
      </c>
      <c r="G287" s="14"/>
      <c r="H287" s="14"/>
      <c r="I287" s="14"/>
      <c r="J287" s="14"/>
      <c r="K287" s="22">
        <f t="shared" si="30"/>
        <v>18051.3</v>
      </c>
      <c r="L287" s="2">
        <f t="shared" si="31"/>
        <v>-18051.3</v>
      </c>
      <c r="M287" s="2">
        <f>M286+L287</f>
        <v>-30599.67</v>
      </c>
      <c r="N287" s="2">
        <f t="shared" si="32"/>
        <v>-18051.3</v>
      </c>
      <c r="O287" s="2">
        <f t="shared" ref="O287:O319" si="33">O286+N287</f>
        <v>-30599.67</v>
      </c>
    </row>
    <row r="288" spans="1:17">
      <c r="A288">
        <v>4</v>
      </c>
      <c r="F288" s="13">
        <f>B22</f>
        <v>24226.44</v>
      </c>
      <c r="G288" s="14"/>
      <c r="H288" s="14"/>
      <c r="I288" s="14"/>
      <c r="J288" s="14"/>
      <c r="K288" s="22">
        <f t="shared" si="30"/>
        <v>24226.44</v>
      </c>
      <c r="L288" s="2">
        <f t="shared" si="31"/>
        <v>-24226.44</v>
      </c>
      <c r="M288" s="2">
        <f t="shared" ref="M288:M319" si="34">M287+L288</f>
        <v>-54826.11</v>
      </c>
      <c r="N288" s="2">
        <f t="shared" si="32"/>
        <v>-24226.44</v>
      </c>
      <c r="O288" s="2">
        <f t="shared" si="33"/>
        <v>-54826.11</v>
      </c>
    </row>
    <row r="289" spans="1:15">
      <c r="A289">
        <v>5</v>
      </c>
      <c r="B289">
        <v>3072.37</v>
      </c>
      <c r="E289">
        <v>3072.37</v>
      </c>
      <c r="F289" s="13">
        <f>B23</f>
        <v>13256.03</v>
      </c>
      <c r="G289" s="14">
        <v>100</v>
      </c>
      <c r="H289" s="14">
        <f>N52</f>
        <v>737.3299999999997</v>
      </c>
      <c r="I289" s="23">
        <f>F93</f>
        <v>41.784232000000003</v>
      </c>
      <c r="J289" s="14"/>
      <c r="K289" s="22">
        <f t="shared" si="30"/>
        <v>14135.144232000001</v>
      </c>
      <c r="L289" s="2">
        <f t="shared" si="31"/>
        <v>-11062.774232</v>
      </c>
      <c r="M289" s="2">
        <f t="shared" si="34"/>
        <v>-65888.884231999997</v>
      </c>
      <c r="N289" s="2">
        <f t="shared" si="32"/>
        <v>-11062.774232</v>
      </c>
      <c r="O289" s="2">
        <f t="shared" si="33"/>
        <v>-65888.884231999997</v>
      </c>
    </row>
    <row r="290" spans="1:15">
      <c r="A290">
        <v>6</v>
      </c>
      <c r="B290">
        <v>8192.84</v>
      </c>
      <c r="E290">
        <v>8192.84</v>
      </c>
      <c r="F290" s="13"/>
      <c r="G290" s="14"/>
      <c r="H290" s="14">
        <f t="shared" ref="H290:H319" si="35">N53</f>
        <v>1461.7917500000003</v>
      </c>
      <c r="I290" s="23">
        <f t="shared" ref="I290:I319" si="36">F94</f>
        <v>111.42262400000001</v>
      </c>
      <c r="J290" s="14"/>
      <c r="K290" s="22">
        <f t="shared" si="30"/>
        <v>1573.2143740000004</v>
      </c>
      <c r="L290" s="2">
        <f t="shared" si="31"/>
        <v>6619.625626</v>
      </c>
      <c r="M290" s="2">
        <f t="shared" si="34"/>
        <v>-59269.258605999996</v>
      </c>
      <c r="N290" s="2">
        <f t="shared" si="32"/>
        <v>6619.625626</v>
      </c>
      <c r="O290" s="2">
        <f t="shared" si="33"/>
        <v>-59269.258605999996</v>
      </c>
    </row>
    <row r="291" spans="1:15">
      <c r="A291">
        <v>7</v>
      </c>
      <c r="B291">
        <v>8192.84</v>
      </c>
      <c r="E291">
        <v>8192.84</v>
      </c>
      <c r="F291" s="13"/>
      <c r="G291" s="14"/>
      <c r="H291" s="14">
        <f t="shared" si="35"/>
        <v>1461.7900000000009</v>
      </c>
      <c r="I291" s="23">
        <f t="shared" si="36"/>
        <v>111.42262400000001</v>
      </c>
      <c r="J291" s="23">
        <f>J95</f>
        <v>52.306217039999929</v>
      </c>
      <c r="K291" s="22">
        <f t="shared" si="30"/>
        <v>1625.5188410400008</v>
      </c>
      <c r="L291" s="2">
        <f t="shared" si="31"/>
        <v>6567.3211589599996</v>
      </c>
      <c r="M291" s="2">
        <f t="shared" si="34"/>
        <v>-52701.937447039993</v>
      </c>
      <c r="N291" s="2">
        <f t="shared" si="32"/>
        <v>6619.6273759999995</v>
      </c>
      <c r="O291" s="2">
        <f t="shared" si="33"/>
        <v>-52649.631229999999</v>
      </c>
    </row>
    <row r="292" spans="1:15">
      <c r="A292">
        <v>8</v>
      </c>
      <c r="B292">
        <v>8192.84</v>
      </c>
      <c r="E292">
        <v>8192.84</v>
      </c>
      <c r="F292" s="13"/>
      <c r="G292" s="14"/>
      <c r="H292" s="14">
        <f t="shared" si="35"/>
        <v>1461.7900000000009</v>
      </c>
      <c r="I292" s="23">
        <f t="shared" si="36"/>
        <v>111.42262400000001</v>
      </c>
      <c r="J292" s="23">
        <f t="shared" ref="J292:J319" si="37">J96</f>
        <v>82.027667039999955</v>
      </c>
      <c r="K292" s="22">
        <f t="shared" si="30"/>
        <v>1655.2402910400008</v>
      </c>
      <c r="L292" s="2">
        <f t="shared" si="31"/>
        <v>6537.5997089599996</v>
      </c>
      <c r="M292" s="2">
        <f t="shared" si="34"/>
        <v>-46164.337738079994</v>
      </c>
      <c r="N292" s="2">
        <f t="shared" si="32"/>
        <v>6619.6273759999995</v>
      </c>
      <c r="O292" s="2">
        <f t="shared" si="33"/>
        <v>-46030.003854000002</v>
      </c>
    </row>
    <row r="293" spans="1:15">
      <c r="A293">
        <v>9</v>
      </c>
      <c r="B293">
        <v>8192.84</v>
      </c>
      <c r="E293">
        <v>8192.84</v>
      </c>
      <c r="F293" s="13"/>
      <c r="G293" s="14"/>
      <c r="H293" s="14">
        <f t="shared" si="35"/>
        <v>1461.7900000000009</v>
      </c>
      <c r="I293" s="23">
        <f t="shared" si="36"/>
        <v>111.42262400000001</v>
      </c>
      <c r="J293" s="23">
        <f t="shared" si="37"/>
        <v>111.74746703999993</v>
      </c>
      <c r="K293" s="22">
        <f t="shared" si="30"/>
        <v>1684.9600910400009</v>
      </c>
      <c r="L293" s="2">
        <f t="shared" si="31"/>
        <v>6507.8799089599997</v>
      </c>
      <c r="M293" s="2">
        <f t="shared" si="34"/>
        <v>-39656.457829119994</v>
      </c>
      <c r="N293" s="2">
        <f t="shared" si="32"/>
        <v>6619.6273759999995</v>
      </c>
      <c r="O293" s="2">
        <f t="shared" si="33"/>
        <v>-39410.376478000006</v>
      </c>
    </row>
    <row r="294" spans="1:15">
      <c r="A294">
        <v>10</v>
      </c>
      <c r="B294">
        <v>8192.84</v>
      </c>
      <c r="E294">
        <v>8192.84</v>
      </c>
      <c r="F294" s="13"/>
      <c r="G294" s="14"/>
      <c r="H294" s="14">
        <f t="shared" si="35"/>
        <v>1461.7900000000009</v>
      </c>
      <c r="I294" s="23">
        <f t="shared" si="36"/>
        <v>111.42262400000001</v>
      </c>
      <c r="J294" s="23">
        <f t="shared" si="37"/>
        <v>282.9378340799999</v>
      </c>
      <c r="K294" s="22">
        <f t="shared" si="30"/>
        <v>1856.1504580800008</v>
      </c>
      <c r="L294" s="2">
        <f t="shared" si="31"/>
        <v>6336.6895419199991</v>
      </c>
      <c r="M294" s="2">
        <f t="shared" si="34"/>
        <v>-33319.768287199993</v>
      </c>
      <c r="N294" s="2">
        <f t="shared" si="32"/>
        <v>6619.6273759999985</v>
      </c>
      <c r="O294" s="2">
        <f t="shared" si="33"/>
        <v>-32790.749102000009</v>
      </c>
    </row>
    <row r="295" spans="1:15">
      <c r="A295">
        <v>11</v>
      </c>
      <c r="B295">
        <v>8192.84</v>
      </c>
      <c r="E295">
        <v>8192.84</v>
      </c>
      <c r="F295" s="13"/>
      <c r="G295" s="14"/>
      <c r="H295" s="14">
        <f t="shared" si="35"/>
        <v>1461.7900000000009</v>
      </c>
      <c r="I295" s="23">
        <f t="shared" si="36"/>
        <v>111.42262400000001</v>
      </c>
      <c r="J295" s="23">
        <f t="shared" si="37"/>
        <v>342.38073407999997</v>
      </c>
      <c r="K295" s="22">
        <f t="shared" si="30"/>
        <v>1915.5933580800008</v>
      </c>
      <c r="L295" s="2">
        <f t="shared" si="31"/>
        <v>6277.2466419199991</v>
      </c>
      <c r="M295" s="2">
        <f t="shared" si="34"/>
        <v>-27042.521645279994</v>
      </c>
      <c r="N295" s="2">
        <f t="shared" si="32"/>
        <v>6619.6273759999995</v>
      </c>
      <c r="O295" s="2">
        <f t="shared" si="33"/>
        <v>-26171.121726000008</v>
      </c>
    </row>
    <row r="296" spans="1:15">
      <c r="A296">
        <v>12</v>
      </c>
      <c r="B296">
        <v>8192.84</v>
      </c>
      <c r="E296">
        <v>8192.84</v>
      </c>
      <c r="F296" s="13"/>
      <c r="G296" s="14"/>
      <c r="H296" s="14">
        <f t="shared" si="35"/>
        <v>1461.7900000000009</v>
      </c>
      <c r="I296" s="23">
        <f t="shared" si="36"/>
        <v>111.42262400000001</v>
      </c>
      <c r="J296" s="23">
        <f t="shared" si="37"/>
        <v>401.8203340799999</v>
      </c>
      <c r="K296" s="22">
        <f t="shared" si="30"/>
        <v>1975.0329580800008</v>
      </c>
      <c r="L296" s="2">
        <f t="shared" si="31"/>
        <v>6217.8070419199994</v>
      </c>
      <c r="M296" s="2">
        <f t="shared" si="34"/>
        <v>-20824.714603359993</v>
      </c>
      <c r="N296" s="2">
        <f t="shared" si="32"/>
        <v>6619.6273759999995</v>
      </c>
      <c r="O296" s="2">
        <f t="shared" si="33"/>
        <v>-19551.494350000008</v>
      </c>
    </row>
    <row r="297" spans="1:15">
      <c r="A297">
        <v>13</v>
      </c>
      <c r="B297">
        <v>8192.84</v>
      </c>
      <c r="E297">
        <v>8192.84</v>
      </c>
      <c r="F297" s="13"/>
      <c r="G297" s="14"/>
      <c r="H297" s="14">
        <f t="shared" si="35"/>
        <v>1461.7900000000009</v>
      </c>
      <c r="I297" s="23">
        <f t="shared" si="36"/>
        <v>111.42262400000001</v>
      </c>
      <c r="J297" s="23">
        <f t="shared" si="37"/>
        <v>461.26323407999996</v>
      </c>
      <c r="K297" s="22">
        <f t="shared" si="30"/>
        <v>2034.4758580800008</v>
      </c>
      <c r="L297" s="2">
        <f t="shared" si="31"/>
        <v>6158.3641419199994</v>
      </c>
      <c r="M297" s="2">
        <f t="shared" si="34"/>
        <v>-14666.350461439994</v>
      </c>
      <c r="N297" s="2">
        <f t="shared" si="32"/>
        <v>6619.6273759999995</v>
      </c>
      <c r="O297" s="2">
        <f t="shared" si="33"/>
        <v>-12931.866974000008</v>
      </c>
    </row>
    <row r="298" spans="1:15">
      <c r="A298">
        <v>14</v>
      </c>
      <c r="B298">
        <v>8192.84</v>
      </c>
      <c r="E298">
        <v>8192.84</v>
      </c>
      <c r="F298" s="13"/>
      <c r="G298" s="14"/>
      <c r="H298" s="14">
        <f t="shared" si="35"/>
        <v>1461.7900000000009</v>
      </c>
      <c r="I298" s="23">
        <f t="shared" si="36"/>
        <v>111.42262400000001</v>
      </c>
      <c r="J298" s="23">
        <f t="shared" si="37"/>
        <v>521.90073408000001</v>
      </c>
      <c r="K298" s="22">
        <f t="shared" si="30"/>
        <v>2095.113358080001</v>
      </c>
      <c r="L298" s="2">
        <f t="shared" si="31"/>
        <v>6097.7266419199987</v>
      </c>
      <c r="M298" s="2">
        <f t="shared" si="34"/>
        <v>-8568.6238195199949</v>
      </c>
      <c r="N298" s="2">
        <f t="shared" si="32"/>
        <v>6619.6273759999985</v>
      </c>
      <c r="O298" s="2">
        <f t="shared" si="33"/>
        <v>-6312.2395980000092</v>
      </c>
    </row>
    <row r="299" spans="1:15">
      <c r="A299">
        <v>15</v>
      </c>
      <c r="B299">
        <v>8192.84</v>
      </c>
      <c r="E299">
        <v>8192.84</v>
      </c>
      <c r="F299" s="13"/>
      <c r="G299" s="14"/>
      <c r="H299" s="14">
        <f t="shared" si="35"/>
        <v>1449.1500000000008</v>
      </c>
      <c r="I299" s="23">
        <f t="shared" si="36"/>
        <v>111.42262400000001</v>
      </c>
      <c r="J299" s="23">
        <f t="shared" si="37"/>
        <v>588.8214340799999</v>
      </c>
      <c r="K299" s="22">
        <f t="shared" si="30"/>
        <v>2149.3940580800008</v>
      </c>
      <c r="L299" s="2">
        <f t="shared" si="31"/>
        <v>6043.4459419199993</v>
      </c>
      <c r="M299" s="2">
        <f t="shared" si="34"/>
        <v>-2525.1778775999956</v>
      </c>
      <c r="N299" s="2">
        <f t="shared" si="32"/>
        <v>6632.2673759999989</v>
      </c>
      <c r="O299" s="2">
        <f t="shared" si="33"/>
        <v>320.02777799998967</v>
      </c>
    </row>
    <row r="300" spans="1:15">
      <c r="A300">
        <v>16</v>
      </c>
      <c r="B300">
        <v>8192.84</v>
      </c>
      <c r="E300">
        <v>8192.84</v>
      </c>
      <c r="F300" s="13"/>
      <c r="G300" s="14"/>
      <c r="H300" s="14">
        <f t="shared" si="35"/>
        <v>1449.1500000000003</v>
      </c>
      <c r="I300" s="23">
        <f t="shared" si="36"/>
        <v>111.42262400000001</v>
      </c>
      <c r="J300" s="23">
        <f t="shared" si="37"/>
        <v>653.90733408000006</v>
      </c>
      <c r="K300" s="22">
        <f t="shared" si="30"/>
        <v>2214.4799580800004</v>
      </c>
      <c r="L300" s="2">
        <f t="shared" si="31"/>
        <v>5978.3600419199993</v>
      </c>
      <c r="M300" s="2">
        <f t="shared" si="34"/>
        <v>3453.1821643200037</v>
      </c>
      <c r="N300" s="2">
        <f t="shared" si="32"/>
        <v>6632.2673759999998</v>
      </c>
      <c r="O300" s="2">
        <f t="shared" si="33"/>
        <v>6952.2951539999895</v>
      </c>
    </row>
    <row r="301" spans="1:15">
      <c r="A301">
        <v>17</v>
      </c>
      <c r="B301">
        <v>8192.84</v>
      </c>
      <c r="E301">
        <v>8192.84</v>
      </c>
      <c r="F301" s="13"/>
      <c r="G301" s="14"/>
      <c r="H301" s="14">
        <f t="shared" si="35"/>
        <v>1449.150000000001</v>
      </c>
      <c r="I301" s="23">
        <f t="shared" si="36"/>
        <v>111.42262400000001</v>
      </c>
      <c r="J301" s="23">
        <f t="shared" si="37"/>
        <v>721.25703407999981</v>
      </c>
      <c r="K301" s="22">
        <f t="shared" si="30"/>
        <v>2281.8296580800006</v>
      </c>
      <c r="L301" s="2">
        <f t="shared" si="31"/>
        <v>5911.0103419199995</v>
      </c>
      <c r="M301" s="2">
        <f t="shared" si="34"/>
        <v>9364.1925062400041</v>
      </c>
      <c r="N301" s="2">
        <f t="shared" si="32"/>
        <v>6632.2673759999998</v>
      </c>
      <c r="O301" s="2">
        <f t="shared" si="33"/>
        <v>13584.562529999988</v>
      </c>
    </row>
    <row r="302" spans="1:15">
      <c r="A302">
        <v>18</v>
      </c>
      <c r="B302">
        <v>8192.84</v>
      </c>
      <c r="E302">
        <v>8192.84</v>
      </c>
      <c r="F302" s="13"/>
      <c r="G302" s="14"/>
      <c r="H302" s="14">
        <f t="shared" si="35"/>
        <v>1449.1500000000008</v>
      </c>
      <c r="I302" s="23">
        <f t="shared" si="36"/>
        <v>111.42262400000001</v>
      </c>
      <c r="J302" s="23">
        <f t="shared" si="37"/>
        <v>790.95963407999989</v>
      </c>
      <c r="K302" s="22">
        <f t="shared" si="30"/>
        <v>2351.5322580800007</v>
      </c>
      <c r="L302" s="2">
        <f t="shared" si="31"/>
        <v>5841.3077419199999</v>
      </c>
      <c r="M302" s="2">
        <f t="shared" si="34"/>
        <v>15205.500248160004</v>
      </c>
      <c r="N302" s="2">
        <f t="shared" si="32"/>
        <v>6632.2673759999998</v>
      </c>
      <c r="O302" s="2">
        <f t="shared" si="33"/>
        <v>20216.829905999988</v>
      </c>
    </row>
    <row r="303" spans="1:15">
      <c r="A303">
        <v>19</v>
      </c>
      <c r="B303">
        <v>8192.84</v>
      </c>
      <c r="E303">
        <v>8192.84</v>
      </c>
      <c r="F303" s="13"/>
      <c r="G303" s="14"/>
      <c r="H303" s="14">
        <f t="shared" si="35"/>
        <v>1449.1500000000003</v>
      </c>
      <c r="I303" s="23">
        <f t="shared" si="36"/>
        <v>111.42262400000001</v>
      </c>
      <c r="J303" s="23">
        <f t="shared" si="37"/>
        <v>863.08773408000013</v>
      </c>
      <c r="K303" s="22">
        <f t="shared" si="30"/>
        <v>2423.6603580800006</v>
      </c>
      <c r="L303" s="2">
        <f t="shared" si="31"/>
        <v>5769.17964192</v>
      </c>
      <c r="M303" s="2">
        <f t="shared" si="34"/>
        <v>20974.679890080006</v>
      </c>
      <c r="N303" s="2">
        <f t="shared" si="32"/>
        <v>6632.2673759999998</v>
      </c>
      <c r="O303" s="2">
        <f t="shared" si="33"/>
        <v>26849.097281999988</v>
      </c>
    </row>
    <row r="304" spans="1:15">
      <c r="A304">
        <v>20</v>
      </c>
      <c r="B304">
        <v>8192.84</v>
      </c>
      <c r="E304">
        <v>8192.84</v>
      </c>
      <c r="F304" s="13"/>
      <c r="G304" s="14"/>
      <c r="H304" s="14">
        <f t="shared" si="35"/>
        <v>1449.1500000000005</v>
      </c>
      <c r="I304" s="23">
        <f t="shared" si="36"/>
        <v>111.42262400000001</v>
      </c>
      <c r="J304" s="23">
        <f t="shared" si="37"/>
        <v>937.73043408000001</v>
      </c>
      <c r="K304" s="22">
        <f t="shared" si="30"/>
        <v>2498.3030580800005</v>
      </c>
      <c r="L304" s="2">
        <f t="shared" si="31"/>
        <v>5694.5369419199997</v>
      </c>
      <c r="M304" s="2">
        <f t="shared" si="34"/>
        <v>26669.216832000006</v>
      </c>
      <c r="N304" s="2">
        <f t="shared" si="32"/>
        <v>6632.2673759999998</v>
      </c>
      <c r="O304" s="2">
        <f t="shared" si="33"/>
        <v>33481.364657999991</v>
      </c>
    </row>
    <row r="305" spans="1:15">
      <c r="A305">
        <v>21</v>
      </c>
      <c r="B305">
        <v>8192.84</v>
      </c>
      <c r="E305">
        <v>8192.84</v>
      </c>
      <c r="F305" s="13"/>
      <c r="G305" s="14"/>
      <c r="H305" s="14">
        <f t="shared" si="35"/>
        <v>1449.150000000001</v>
      </c>
      <c r="I305" s="23">
        <f t="shared" si="36"/>
        <v>111.42262400000001</v>
      </c>
      <c r="J305" s="23">
        <f t="shared" si="37"/>
        <v>1014.9735340799999</v>
      </c>
      <c r="K305" s="22">
        <f t="shared" si="30"/>
        <v>2575.5461580800011</v>
      </c>
      <c r="L305" s="2">
        <f t="shared" si="31"/>
        <v>5617.2938419199991</v>
      </c>
      <c r="M305" s="2">
        <f t="shared" si="34"/>
        <v>32286.510673920006</v>
      </c>
      <c r="N305" s="2">
        <f t="shared" si="32"/>
        <v>6632.2673759999989</v>
      </c>
      <c r="O305" s="2">
        <f t="shared" si="33"/>
        <v>40113.632033999987</v>
      </c>
    </row>
    <row r="306" spans="1:15">
      <c r="A306">
        <v>22</v>
      </c>
      <c r="B306">
        <v>8192.84</v>
      </c>
      <c r="E306">
        <v>8192.84</v>
      </c>
      <c r="F306" s="13"/>
      <c r="G306" s="14"/>
      <c r="H306" s="14">
        <f t="shared" si="35"/>
        <v>1449.1500000000005</v>
      </c>
      <c r="I306" s="23">
        <f t="shared" si="36"/>
        <v>111.42262400000001</v>
      </c>
      <c r="J306" s="23">
        <f t="shared" si="37"/>
        <v>1094.90943408</v>
      </c>
      <c r="K306" s="22">
        <f t="shared" si="30"/>
        <v>2655.4820580800006</v>
      </c>
      <c r="L306" s="2">
        <f t="shared" si="31"/>
        <v>5537.3579419199996</v>
      </c>
      <c r="M306" s="2">
        <f t="shared" si="34"/>
        <v>37823.868615840009</v>
      </c>
      <c r="N306" s="2">
        <f t="shared" si="32"/>
        <v>6632.2673759999998</v>
      </c>
      <c r="O306" s="2">
        <f t="shared" si="33"/>
        <v>46745.899409999984</v>
      </c>
    </row>
    <row r="307" spans="1:15">
      <c r="A307">
        <v>23</v>
      </c>
      <c r="B307">
        <v>8192.84</v>
      </c>
      <c r="E307">
        <v>8192.84</v>
      </c>
      <c r="F307" s="13"/>
      <c r="G307" s="14"/>
      <c r="H307" s="14">
        <f t="shared" si="35"/>
        <v>1449.15</v>
      </c>
      <c r="I307" s="23">
        <f t="shared" si="36"/>
        <v>111.42262400000001</v>
      </c>
      <c r="J307" s="23">
        <f t="shared" si="37"/>
        <v>1177.6338340800003</v>
      </c>
      <c r="K307" s="22">
        <f t="shared" si="30"/>
        <v>2738.2064580800006</v>
      </c>
      <c r="L307" s="2">
        <f t="shared" si="31"/>
        <v>5454.6335419199995</v>
      </c>
      <c r="M307" s="2">
        <f t="shared" si="34"/>
        <v>43278.502157760006</v>
      </c>
      <c r="N307" s="2">
        <f t="shared" si="32"/>
        <v>6632.2673759999998</v>
      </c>
      <c r="O307" s="2">
        <f t="shared" si="33"/>
        <v>53378.166785999987</v>
      </c>
    </row>
    <row r="308" spans="1:15">
      <c r="A308">
        <v>24</v>
      </c>
      <c r="B308">
        <v>8192.84</v>
      </c>
      <c r="E308">
        <v>8192.84</v>
      </c>
      <c r="F308" s="13"/>
      <c r="G308" s="14"/>
      <c r="H308" s="14">
        <f t="shared" si="35"/>
        <v>1449.1500000000003</v>
      </c>
      <c r="I308" s="23">
        <f t="shared" si="36"/>
        <v>111.42262400000001</v>
      </c>
      <c r="J308" s="23">
        <f t="shared" si="37"/>
        <v>1216.08873408</v>
      </c>
      <c r="K308" s="22">
        <f t="shared" si="30"/>
        <v>2776.6613580800004</v>
      </c>
      <c r="L308" s="2">
        <f t="shared" si="31"/>
        <v>5416.1786419199998</v>
      </c>
      <c r="M308" s="2">
        <f t="shared" si="34"/>
        <v>48694.680799680005</v>
      </c>
      <c r="N308" s="2">
        <f t="shared" si="32"/>
        <v>6632.2673759999998</v>
      </c>
      <c r="O308" s="2">
        <f t="shared" si="33"/>
        <v>60010.43416199999</v>
      </c>
    </row>
    <row r="309" spans="1:15">
      <c r="A309">
        <v>25</v>
      </c>
      <c r="B309">
        <v>8192.84</v>
      </c>
      <c r="E309">
        <v>8192.84</v>
      </c>
      <c r="F309" s="13"/>
      <c r="G309" s="14"/>
      <c r="H309" s="14">
        <f t="shared" si="35"/>
        <v>1449.1500000000003</v>
      </c>
      <c r="I309" s="23">
        <f t="shared" si="36"/>
        <v>111.42262400000001</v>
      </c>
      <c r="J309" s="23">
        <f t="shared" si="37"/>
        <v>1216.08873408</v>
      </c>
      <c r="K309" s="22">
        <f t="shared" si="30"/>
        <v>2776.6613580800004</v>
      </c>
      <c r="L309" s="2">
        <f t="shared" si="31"/>
        <v>5416.1786419199998</v>
      </c>
      <c r="M309" s="2">
        <f t="shared" si="34"/>
        <v>54110.859441600005</v>
      </c>
      <c r="N309" s="2">
        <f t="shared" si="32"/>
        <v>6632.2673759999998</v>
      </c>
      <c r="O309" s="2">
        <f t="shared" si="33"/>
        <v>66642.701537999994</v>
      </c>
    </row>
    <row r="310" spans="1:15">
      <c r="A310">
        <v>26</v>
      </c>
      <c r="B310">
        <v>8192.84</v>
      </c>
      <c r="E310">
        <v>8192.84</v>
      </c>
      <c r="F310" s="13"/>
      <c r="G310" s="14"/>
      <c r="H310" s="14">
        <f t="shared" si="35"/>
        <v>1449.1500000000003</v>
      </c>
      <c r="I310" s="23">
        <f t="shared" si="36"/>
        <v>111.42262400000001</v>
      </c>
      <c r="J310" s="23">
        <f t="shared" si="37"/>
        <v>1216.08873408</v>
      </c>
      <c r="K310" s="22">
        <f t="shared" si="30"/>
        <v>2776.6613580800004</v>
      </c>
      <c r="L310" s="2">
        <f t="shared" si="31"/>
        <v>5416.1786419199998</v>
      </c>
      <c r="M310" s="2">
        <f t="shared" si="34"/>
        <v>59527.038083520005</v>
      </c>
      <c r="N310" s="2">
        <f t="shared" si="32"/>
        <v>6632.2673759999998</v>
      </c>
      <c r="O310" s="2">
        <f t="shared" si="33"/>
        <v>73274.968913999997</v>
      </c>
    </row>
    <row r="311" spans="1:15">
      <c r="A311">
        <v>27</v>
      </c>
      <c r="B311">
        <v>8192.84</v>
      </c>
      <c r="E311">
        <v>8192.84</v>
      </c>
      <c r="F311" s="13"/>
      <c r="G311" s="14"/>
      <c r="H311" s="14">
        <f t="shared" si="35"/>
        <v>1449.1500000000003</v>
      </c>
      <c r="I311" s="23">
        <f t="shared" si="36"/>
        <v>111.42262400000001</v>
      </c>
      <c r="J311" s="23">
        <f t="shared" si="37"/>
        <v>1216.08873408</v>
      </c>
      <c r="K311" s="22">
        <f t="shared" si="30"/>
        <v>2776.6613580800004</v>
      </c>
      <c r="L311" s="2">
        <f t="shared" si="31"/>
        <v>5416.1786419199998</v>
      </c>
      <c r="M311" s="2">
        <f t="shared" si="34"/>
        <v>64943.216725440005</v>
      </c>
      <c r="N311" s="2">
        <f t="shared" si="32"/>
        <v>6632.2673759999998</v>
      </c>
      <c r="O311" s="2">
        <f t="shared" si="33"/>
        <v>79907.236290000001</v>
      </c>
    </row>
    <row r="312" spans="1:15">
      <c r="A312">
        <v>28</v>
      </c>
      <c r="B312">
        <v>8192.84</v>
      </c>
      <c r="E312">
        <v>8192.84</v>
      </c>
      <c r="F312" s="13"/>
      <c r="G312" s="14"/>
      <c r="H312" s="14">
        <f t="shared" si="35"/>
        <v>1449.1500000000003</v>
      </c>
      <c r="I312" s="23">
        <f t="shared" si="36"/>
        <v>111.42262400000001</v>
      </c>
      <c r="J312" s="23">
        <f t="shared" si="37"/>
        <v>1216.08873408</v>
      </c>
      <c r="K312" s="22">
        <f t="shared" si="30"/>
        <v>2776.6613580800004</v>
      </c>
      <c r="L312" s="2">
        <f t="shared" si="31"/>
        <v>5416.1786419199998</v>
      </c>
      <c r="M312" s="2">
        <f t="shared" si="34"/>
        <v>70359.395367360004</v>
      </c>
      <c r="N312" s="2">
        <f t="shared" si="32"/>
        <v>6632.2673759999998</v>
      </c>
      <c r="O312" s="2">
        <f t="shared" si="33"/>
        <v>86539.503666000004</v>
      </c>
    </row>
    <row r="313" spans="1:15">
      <c r="A313">
        <v>29</v>
      </c>
      <c r="B313">
        <v>8192.84</v>
      </c>
      <c r="E313">
        <v>8192.84</v>
      </c>
      <c r="F313" s="13"/>
      <c r="G313" s="14"/>
      <c r="H313" s="14">
        <f t="shared" si="35"/>
        <v>1449.1500000000003</v>
      </c>
      <c r="I313" s="23">
        <f t="shared" si="36"/>
        <v>111.42262400000001</v>
      </c>
      <c r="J313" s="23">
        <f t="shared" si="37"/>
        <v>1216.08873408</v>
      </c>
      <c r="K313" s="22">
        <f t="shared" si="30"/>
        <v>2776.6613580800004</v>
      </c>
      <c r="L313" s="2">
        <f t="shared" si="31"/>
        <v>5416.1786419199998</v>
      </c>
      <c r="M313" s="2">
        <f t="shared" si="34"/>
        <v>75775.574009280012</v>
      </c>
      <c r="N313" s="2">
        <f t="shared" si="32"/>
        <v>6632.2673759999998</v>
      </c>
      <c r="O313" s="2">
        <f t="shared" si="33"/>
        <v>93171.771042000008</v>
      </c>
    </row>
    <row r="314" spans="1:15">
      <c r="A314">
        <v>30</v>
      </c>
      <c r="B314">
        <v>8192.84</v>
      </c>
      <c r="E314">
        <v>8192.84</v>
      </c>
      <c r="F314" s="13"/>
      <c r="G314" s="14"/>
      <c r="H314" s="14">
        <f t="shared" si="35"/>
        <v>1449.1499999999994</v>
      </c>
      <c r="I314" s="23">
        <f t="shared" si="36"/>
        <v>111.42262400000001</v>
      </c>
      <c r="J314" s="23">
        <f t="shared" si="37"/>
        <v>1580.3229340800003</v>
      </c>
      <c r="K314" s="22">
        <f t="shared" si="30"/>
        <v>3140.8955580799998</v>
      </c>
      <c r="L314" s="2">
        <f t="shared" si="31"/>
        <v>5051.9444419200008</v>
      </c>
      <c r="M314" s="2">
        <f t="shared" si="34"/>
        <v>80827.518451200012</v>
      </c>
      <c r="N314" s="2">
        <f t="shared" si="32"/>
        <v>6632.2673760000016</v>
      </c>
      <c r="O314" s="2">
        <f t="shared" si="33"/>
        <v>99804.038418000011</v>
      </c>
    </row>
    <row r="315" spans="1:15">
      <c r="A315">
        <v>31</v>
      </c>
      <c r="B315">
        <v>8192.84</v>
      </c>
      <c r="E315">
        <v>8192.84</v>
      </c>
      <c r="F315" s="13"/>
      <c r="G315" s="14"/>
      <c r="H315" s="14">
        <f t="shared" si="35"/>
        <v>1449.15</v>
      </c>
      <c r="I315" s="23">
        <f t="shared" si="36"/>
        <v>111.42262400000001</v>
      </c>
      <c r="J315" s="23">
        <f t="shared" si="37"/>
        <v>2187.3579340800002</v>
      </c>
      <c r="K315" s="22">
        <f t="shared" si="30"/>
        <v>3747.9305580800001</v>
      </c>
      <c r="L315" s="2">
        <f t="shared" si="31"/>
        <v>4444.9094419200001</v>
      </c>
      <c r="M315" s="2">
        <f t="shared" si="34"/>
        <v>85272.42789312001</v>
      </c>
      <c r="N315" s="2">
        <f t="shared" si="32"/>
        <v>6632.2673759999998</v>
      </c>
      <c r="O315" s="2">
        <f t="shared" si="33"/>
        <v>106436.30579400001</v>
      </c>
    </row>
    <row r="316" spans="1:15">
      <c r="A316">
        <v>32</v>
      </c>
      <c r="B316">
        <v>8192.84</v>
      </c>
      <c r="E316">
        <v>8192.84</v>
      </c>
      <c r="F316" s="13"/>
      <c r="G316" s="14"/>
      <c r="H316" s="14">
        <f t="shared" si="35"/>
        <v>1449.15</v>
      </c>
      <c r="I316" s="23">
        <f t="shared" si="36"/>
        <v>111.42262400000001</v>
      </c>
      <c r="J316" s="23">
        <f t="shared" si="37"/>
        <v>2187.3579340800002</v>
      </c>
      <c r="K316" s="22">
        <f t="shared" si="30"/>
        <v>3747.9305580800001</v>
      </c>
      <c r="L316" s="2">
        <f t="shared" si="31"/>
        <v>4444.9094419200001</v>
      </c>
      <c r="M316" s="2">
        <f t="shared" si="34"/>
        <v>89717.337335040007</v>
      </c>
      <c r="N316" s="2">
        <f t="shared" si="32"/>
        <v>6632.2673759999998</v>
      </c>
      <c r="O316" s="2">
        <f t="shared" si="33"/>
        <v>113068.57317000002</v>
      </c>
    </row>
    <row r="317" spans="1:15">
      <c r="A317">
        <v>33</v>
      </c>
      <c r="B317">
        <v>8192.84</v>
      </c>
      <c r="E317">
        <v>8192.84</v>
      </c>
      <c r="F317" s="13"/>
      <c r="G317" s="14"/>
      <c r="H317" s="14">
        <f t="shared" si="35"/>
        <v>1449.15</v>
      </c>
      <c r="I317" s="23">
        <f t="shared" si="36"/>
        <v>111.42262400000001</v>
      </c>
      <c r="J317" s="23">
        <f t="shared" si="37"/>
        <v>2187.3579340800002</v>
      </c>
      <c r="K317" s="22">
        <f t="shared" si="30"/>
        <v>3747.9305580800001</v>
      </c>
      <c r="L317" s="2">
        <f t="shared" si="31"/>
        <v>4444.9094419200001</v>
      </c>
      <c r="M317" s="2">
        <f t="shared" si="34"/>
        <v>94162.246776960004</v>
      </c>
      <c r="N317" s="2">
        <f t="shared" si="32"/>
        <v>6632.2673759999998</v>
      </c>
      <c r="O317" s="2">
        <f t="shared" si="33"/>
        <v>119700.84054600002</v>
      </c>
    </row>
    <row r="318" spans="1:15">
      <c r="A318">
        <v>34</v>
      </c>
      <c r="B318">
        <v>8192.84</v>
      </c>
      <c r="E318">
        <v>8192.84</v>
      </c>
      <c r="F318" s="13"/>
      <c r="G318" s="14"/>
      <c r="H318" s="14">
        <f t="shared" si="35"/>
        <v>1449.15</v>
      </c>
      <c r="I318" s="23">
        <f t="shared" si="36"/>
        <v>111.42262400000001</v>
      </c>
      <c r="J318" s="23">
        <f t="shared" si="37"/>
        <v>2187.3579340800002</v>
      </c>
      <c r="K318" s="22">
        <f t="shared" si="30"/>
        <v>3747.9305580800001</v>
      </c>
      <c r="L318" s="2">
        <f t="shared" si="31"/>
        <v>4444.9094419200001</v>
      </c>
      <c r="M318" s="2">
        <f t="shared" si="34"/>
        <v>98607.156218880002</v>
      </c>
      <c r="N318" s="2">
        <f t="shared" si="32"/>
        <v>6632.2673759999998</v>
      </c>
      <c r="O318" s="2">
        <f t="shared" si="33"/>
        <v>126333.10792200002</v>
      </c>
    </row>
    <row r="319" spans="1:15">
      <c r="A319">
        <v>35</v>
      </c>
      <c r="B319">
        <v>8192.84</v>
      </c>
      <c r="D319">
        <v>100</v>
      </c>
      <c r="E319">
        <v>8292.84</v>
      </c>
      <c r="F319" s="13"/>
      <c r="G319" s="14"/>
      <c r="H319" s="14">
        <f t="shared" si="35"/>
        <v>1449.15</v>
      </c>
      <c r="I319" s="23">
        <f t="shared" si="36"/>
        <v>111.42262400000001</v>
      </c>
      <c r="J319" s="23">
        <f t="shared" si="37"/>
        <v>2187.3579340800002</v>
      </c>
      <c r="K319" s="22">
        <f t="shared" si="30"/>
        <v>3747.9305580800001</v>
      </c>
      <c r="L319" s="2">
        <f t="shared" si="31"/>
        <v>4544.9094419200001</v>
      </c>
      <c r="M319" s="2">
        <f t="shared" si="34"/>
        <v>103152.0656608</v>
      </c>
      <c r="N319" s="2">
        <f t="shared" si="32"/>
        <v>6732.2673759999998</v>
      </c>
      <c r="O319" s="2">
        <f t="shared" si="33"/>
        <v>133065.37529800003</v>
      </c>
    </row>
    <row r="320" spans="1:15">
      <c r="B320">
        <f>SUM(B285:B319)</f>
        <v>248857.56999999992</v>
      </c>
      <c r="C320">
        <f t="shared" ref="C320:L320" si="38">SUM(C285:C319)</f>
        <v>0</v>
      </c>
      <c r="D320">
        <f t="shared" si="38"/>
        <v>100</v>
      </c>
      <c r="E320">
        <f t="shared" si="38"/>
        <v>248957.56999999992</v>
      </c>
      <c r="F320" s="13">
        <f t="shared" si="38"/>
        <v>68082.14</v>
      </c>
      <c r="G320" s="14">
        <f t="shared" si="38"/>
        <v>100</v>
      </c>
      <c r="H320" s="14">
        <f t="shared" si="38"/>
        <v>44325.591750000036</v>
      </c>
      <c r="I320" s="23">
        <f t="shared" si="38"/>
        <v>3384.4629519999985</v>
      </c>
      <c r="J320" s="23">
        <f t="shared" si="38"/>
        <v>29913.309637199993</v>
      </c>
      <c r="K320" s="22">
        <f t="shared" si="38"/>
        <v>145805.50433920004</v>
      </c>
      <c r="L320" s="2">
        <f t="shared" si="38"/>
        <v>103152.0656608</v>
      </c>
      <c r="M320" s="2"/>
      <c r="N320" s="2">
        <f>SUM(N285:N319)</f>
        <v>133065.37529800003</v>
      </c>
    </row>
    <row r="323" spans="1:16">
      <c r="E323" t="s">
        <v>72</v>
      </c>
      <c r="F323" s="1" t="s">
        <v>73</v>
      </c>
      <c r="G323" s="8">
        <f>IRR(L285:L319)</f>
        <v>7.1328103436244739E-2</v>
      </c>
      <c r="I323" s="1" t="s">
        <v>75</v>
      </c>
      <c r="J323" s="6" t="s">
        <v>74</v>
      </c>
      <c r="K323" s="1" t="s">
        <v>86</v>
      </c>
      <c r="L323" s="6">
        <f>NPV(0.07,L285:L319)</f>
        <v>752.94399254728376</v>
      </c>
      <c r="N323" s="7"/>
    </row>
    <row r="324" spans="1:16">
      <c r="E324" t="s">
        <v>77</v>
      </c>
      <c r="F324" s="1" t="s">
        <v>73</v>
      </c>
      <c r="G324">
        <v>8.0500000000000002E-2</v>
      </c>
      <c r="I324" s="1" t="s">
        <v>75</v>
      </c>
      <c r="J324" s="6" t="s">
        <v>85</v>
      </c>
      <c r="K324" s="1" t="s">
        <v>86</v>
      </c>
      <c r="L324" s="6">
        <f>NPV(0.07,N285:N319)</f>
        <v>6500.2274465887549</v>
      </c>
    </row>
    <row r="325" spans="1:16">
      <c r="L325" s="6"/>
    </row>
    <row r="326" spans="1:16">
      <c r="L326" s="6"/>
    </row>
    <row r="327" spans="1:16">
      <c r="B327" s="43" t="s">
        <v>114</v>
      </c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 spans="1:16">
      <c r="B328" s="40" t="s">
        <v>76</v>
      </c>
      <c r="C328" s="40"/>
      <c r="D328" s="40"/>
      <c r="E328" s="40"/>
      <c r="F328" s="40" t="s">
        <v>84</v>
      </c>
      <c r="G328" s="40"/>
      <c r="H328" s="40"/>
      <c r="I328" s="40"/>
      <c r="J328" s="40"/>
      <c r="K328" s="40"/>
    </row>
    <row r="329" spans="1:16">
      <c r="B329" t="s">
        <v>63</v>
      </c>
      <c r="C329" t="s">
        <v>40</v>
      </c>
      <c r="D329" t="s">
        <v>41</v>
      </c>
      <c r="E329" t="s">
        <v>12</v>
      </c>
      <c r="F329" t="s">
        <v>38</v>
      </c>
      <c r="G329" t="s">
        <v>78</v>
      </c>
      <c r="H329" t="s">
        <v>79</v>
      </c>
      <c r="I329" t="s">
        <v>80</v>
      </c>
      <c r="J329" t="s">
        <v>81</v>
      </c>
      <c r="K329" t="s">
        <v>82</v>
      </c>
      <c r="L329" t="s">
        <v>83</v>
      </c>
      <c r="M329" t="s">
        <v>68</v>
      </c>
      <c r="N329" t="s">
        <v>69</v>
      </c>
      <c r="O329" t="s">
        <v>70</v>
      </c>
      <c r="P329" t="s">
        <v>71</v>
      </c>
    </row>
    <row r="330" spans="1:16">
      <c r="A330">
        <v>1</v>
      </c>
      <c r="F330">
        <f>B30</f>
        <v>1045.6199999999999</v>
      </c>
      <c r="L330" s="2">
        <f>F330+G330+H330+I330+J330+K330</f>
        <v>1045.6199999999999</v>
      </c>
      <c r="M330" s="2">
        <f>E330-L330</f>
        <v>-1045.6199999999999</v>
      </c>
      <c r="N330" s="2">
        <f>M330</f>
        <v>-1045.6199999999999</v>
      </c>
      <c r="O330" s="2">
        <f>M330+K330</f>
        <v>-1045.6199999999999</v>
      </c>
      <c r="P330" s="2">
        <f>N330+K330</f>
        <v>-1045.6199999999999</v>
      </c>
    </row>
    <row r="331" spans="1:16">
      <c r="A331">
        <v>2</v>
      </c>
      <c r="F331">
        <f>B31</f>
        <v>2343.9699999999998</v>
      </c>
      <c r="L331" s="2">
        <f t="shared" ref="L331:L364" si="39">F331+G331+H331+I331+J331+K331</f>
        <v>2343.9699999999998</v>
      </c>
      <c r="M331" s="2">
        <f t="shared" ref="M331:M365" si="40">E331-L331</f>
        <v>-2343.9699999999998</v>
      </c>
      <c r="N331" s="2">
        <f>N330+M331</f>
        <v>-3389.5899999999997</v>
      </c>
      <c r="O331" s="2">
        <f t="shared" ref="O331:O365" si="41">M331+K331</f>
        <v>-2343.9699999999998</v>
      </c>
      <c r="P331" s="2">
        <f>P330+O331</f>
        <v>-3389.5899999999997</v>
      </c>
    </row>
    <row r="332" spans="1:16">
      <c r="A332">
        <v>3</v>
      </c>
      <c r="F332">
        <f>B32</f>
        <v>3678.4</v>
      </c>
      <c r="L332" s="2">
        <f t="shared" si="39"/>
        <v>3678.4</v>
      </c>
      <c r="M332" s="2">
        <f t="shared" si="40"/>
        <v>-3678.4</v>
      </c>
      <c r="N332" s="2">
        <f t="shared" ref="N332:N364" si="42">N331+M332</f>
        <v>-7067.99</v>
      </c>
      <c r="O332" s="2">
        <f t="shared" si="41"/>
        <v>-3678.4</v>
      </c>
      <c r="P332" s="2">
        <f t="shared" ref="P332:P364" si="43">P331+O332</f>
        <v>-7067.99</v>
      </c>
    </row>
    <row r="333" spans="1:16">
      <c r="A333">
        <v>4</v>
      </c>
      <c r="F333">
        <f>B33</f>
        <v>4936.74</v>
      </c>
      <c r="L333" s="2">
        <f t="shared" si="39"/>
        <v>4936.74</v>
      </c>
      <c r="M333" s="2">
        <f t="shared" si="40"/>
        <v>-4936.74</v>
      </c>
      <c r="N333" s="2">
        <f t="shared" si="42"/>
        <v>-12004.73</v>
      </c>
      <c r="O333" s="2">
        <f t="shared" si="41"/>
        <v>-4936.74</v>
      </c>
      <c r="P333" s="2">
        <f t="shared" si="43"/>
        <v>-12004.73</v>
      </c>
    </row>
    <row r="334" spans="1:16">
      <c r="A334">
        <v>5</v>
      </c>
      <c r="B334">
        <v>3072.37</v>
      </c>
      <c r="E334">
        <v>3072.37</v>
      </c>
      <c r="F334">
        <f>B34</f>
        <v>2731.25</v>
      </c>
      <c r="G334">
        <f>G204</f>
        <v>1103.73</v>
      </c>
      <c r="H334">
        <f>J52</f>
        <v>1064.8599999999999</v>
      </c>
      <c r="I334">
        <f>N52</f>
        <v>737.3299999999997</v>
      </c>
      <c r="J334" s="2">
        <f>F93</f>
        <v>41.784232000000003</v>
      </c>
      <c r="L334" s="2">
        <f t="shared" si="39"/>
        <v>5678.954232</v>
      </c>
      <c r="M334" s="2">
        <f t="shared" si="40"/>
        <v>-2606.5842320000002</v>
      </c>
      <c r="N334" s="2">
        <f t="shared" si="42"/>
        <v>-14611.314232000001</v>
      </c>
      <c r="O334" s="2">
        <f t="shared" si="41"/>
        <v>-2606.5842320000002</v>
      </c>
      <c r="P334" s="2">
        <f t="shared" si="43"/>
        <v>-14611.314232000001</v>
      </c>
    </row>
    <row r="335" spans="1:16">
      <c r="A335">
        <v>6</v>
      </c>
      <c r="B335">
        <v>8192.84</v>
      </c>
      <c r="E335">
        <v>8192.84</v>
      </c>
      <c r="G335">
        <f t="shared" ref="G335:G352" si="44">G205</f>
        <v>2943.24</v>
      </c>
      <c r="H335">
        <f t="shared" ref="H335:H364" si="45">J53</f>
        <v>3539.51</v>
      </c>
      <c r="I335">
        <f t="shared" ref="I335:I364" si="46">N53</f>
        <v>1461.7917500000003</v>
      </c>
      <c r="J335" s="2">
        <f t="shared" ref="J335:J364" si="47">F94</f>
        <v>111.42262400000001</v>
      </c>
      <c r="L335" s="2">
        <f t="shared" si="39"/>
        <v>8055.9643740000001</v>
      </c>
      <c r="M335" s="2">
        <f t="shared" si="40"/>
        <v>136.87562600000001</v>
      </c>
      <c r="N335" s="2">
        <f t="shared" si="42"/>
        <v>-14474.438606</v>
      </c>
      <c r="O335" s="2">
        <f t="shared" si="41"/>
        <v>136.87562600000001</v>
      </c>
      <c r="P335" s="2">
        <f t="shared" si="43"/>
        <v>-14474.438606</v>
      </c>
    </row>
    <row r="336" spans="1:16">
      <c r="A336">
        <v>7</v>
      </c>
      <c r="B336">
        <v>8192.84</v>
      </c>
      <c r="E336">
        <v>8192.84</v>
      </c>
      <c r="G336">
        <f t="shared" si="44"/>
        <v>2943.24</v>
      </c>
      <c r="H336">
        <f t="shared" si="45"/>
        <v>3359.38</v>
      </c>
      <c r="I336">
        <f t="shared" si="46"/>
        <v>1461.7900000000009</v>
      </c>
      <c r="J336" s="2">
        <f t="shared" si="47"/>
        <v>111.42262400000001</v>
      </c>
      <c r="K336" s="2">
        <f>J95</f>
        <v>52.306217039999929</v>
      </c>
      <c r="L336" s="2">
        <f t="shared" si="39"/>
        <v>7928.1388410400004</v>
      </c>
      <c r="M336" s="2">
        <f t="shared" si="40"/>
        <v>264.7011589599997</v>
      </c>
      <c r="N336" s="2">
        <f t="shared" si="42"/>
        <v>-14209.737447039999</v>
      </c>
      <c r="O336" s="2">
        <f t="shared" si="41"/>
        <v>317.00737599999962</v>
      </c>
      <c r="P336" s="2">
        <f t="shared" si="43"/>
        <v>-14157.43123</v>
      </c>
    </row>
    <row r="337" spans="1:16">
      <c r="A337">
        <v>8</v>
      </c>
      <c r="B337">
        <v>8192.84</v>
      </c>
      <c r="E337">
        <v>8192.84</v>
      </c>
      <c r="G337">
        <f t="shared" si="44"/>
        <v>2943.24</v>
      </c>
      <c r="H337">
        <f t="shared" si="45"/>
        <v>3179.25</v>
      </c>
      <c r="I337">
        <f t="shared" si="46"/>
        <v>1461.7900000000009</v>
      </c>
      <c r="J337" s="2">
        <f t="shared" si="47"/>
        <v>111.42262400000001</v>
      </c>
      <c r="K337" s="2">
        <f t="shared" ref="K337:K364" si="48">J96</f>
        <v>82.027667039999955</v>
      </c>
      <c r="L337" s="2">
        <f t="shared" si="39"/>
        <v>7777.7302910400003</v>
      </c>
      <c r="M337" s="2">
        <f t="shared" si="40"/>
        <v>415.10970895999981</v>
      </c>
      <c r="N337" s="2">
        <f t="shared" si="42"/>
        <v>-13794.627738079998</v>
      </c>
      <c r="O337" s="2">
        <f t="shared" si="41"/>
        <v>497.13737599999979</v>
      </c>
      <c r="P337" s="2">
        <f t="shared" si="43"/>
        <v>-13660.293854</v>
      </c>
    </row>
    <row r="338" spans="1:16">
      <c r="A338">
        <v>9</v>
      </c>
      <c r="B338">
        <v>8192.84</v>
      </c>
      <c r="E338">
        <v>8192.84</v>
      </c>
      <c r="G338">
        <f t="shared" si="44"/>
        <v>2943.24</v>
      </c>
      <c r="H338">
        <f t="shared" si="45"/>
        <v>2999.13</v>
      </c>
      <c r="I338">
        <f t="shared" si="46"/>
        <v>1461.7900000000009</v>
      </c>
      <c r="J338" s="2">
        <f t="shared" si="47"/>
        <v>111.42262400000001</v>
      </c>
      <c r="K338" s="2">
        <f t="shared" si="48"/>
        <v>111.74746703999993</v>
      </c>
      <c r="L338" s="2">
        <f t="shared" si="39"/>
        <v>7627.3300910400003</v>
      </c>
      <c r="M338" s="2">
        <f t="shared" si="40"/>
        <v>565.50990895999985</v>
      </c>
      <c r="N338" s="2">
        <f t="shared" si="42"/>
        <v>-13229.117829119998</v>
      </c>
      <c r="O338" s="2">
        <f t="shared" si="41"/>
        <v>677.25737599999979</v>
      </c>
      <c r="P338" s="2">
        <f t="shared" si="43"/>
        <v>-12983.036478</v>
      </c>
    </row>
    <row r="339" spans="1:16">
      <c r="A339">
        <v>10</v>
      </c>
      <c r="B339">
        <v>8192.84</v>
      </c>
      <c r="E339">
        <v>8192.84</v>
      </c>
      <c r="G339">
        <f t="shared" si="44"/>
        <v>2943.24</v>
      </c>
      <c r="H339">
        <f t="shared" si="45"/>
        <v>2819</v>
      </c>
      <c r="I339">
        <f t="shared" si="46"/>
        <v>1461.7900000000009</v>
      </c>
      <c r="J339" s="2">
        <f t="shared" si="47"/>
        <v>111.42262400000001</v>
      </c>
      <c r="K339" s="2">
        <f t="shared" si="48"/>
        <v>282.9378340799999</v>
      </c>
      <c r="L339" s="2">
        <f t="shared" si="39"/>
        <v>7618.3904580800008</v>
      </c>
      <c r="M339" s="2">
        <f t="shared" si="40"/>
        <v>574.44954191999932</v>
      </c>
      <c r="N339" s="2">
        <f t="shared" si="42"/>
        <v>-12654.668287199998</v>
      </c>
      <c r="O339" s="2">
        <f t="shared" si="41"/>
        <v>857.38737599999922</v>
      </c>
      <c r="P339" s="2">
        <f t="shared" si="43"/>
        <v>-12125.649102000001</v>
      </c>
    </row>
    <row r="340" spans="1:16">
      <c r="A340">
        <v>11</v>
      </c>
      <c r="B340">
        <v>8192.84</v>
      </c>
      <c r="E340">
        <v>8192.84</v>
      </c>
      <c r="G340">
        <f t="shared" si="44"/>
        <v>2943.24</v>
      </c>
      <c r="H340">
        <f t="shared" si="45"/>
        <v>2638.87</v>
      </c>
      <c r="I340">
        <f t="shared" si="46"/>
        <v>1461.7900000000009</v>
      </c>
      <c r="J340" s="2">
        <f t="shared" si="47"/>
        <v>111.42262400000001</v>
      </c>
      <c r="K340" s="2">
        <f t="shared" si="48"/>
        <v>342.38073407999997</v>
      </c>
      <c r="L340" s="2">
        <f t="shared" si="39"/>
        <v>7497.7033580800007</v>
      </c>
      <c r="M340" s="2">
        <f t="shared" si="40"/>
        <v>695.13664191999942</v>
      </c>
      <c r="N340" s="2">
        <f t="shared" si="42"/>
        <v>-11959.53164528</v>
      </c>
      <c r="O340" s="2">
        <f t="shared" si="41"/>
        <v>1037.5173759999993</v>
      </c>
      <c r="P340" s="2">
        <f t="shared" si="43"/>
        <v>-11088.131726000001</v>
      </c>
    </row>
    <row r="341" spans="1:16">
      <c r="A341">
        <v>12</v>
      </c>
      <c r="B341">
        <v>8192.84</v>
      </c>
      <c r="E341">
        <v>8192.84</v>
      </c>
      <c r="G341">
        <f t="shared" si="44"/>
        <v>2943.24</v>
      </c>
      <c r="H341">
        <f t="shared" si="45"/>
        <v>2458.75</v>
      </c>
      <c r="I341">
        <f t="shared" si="46"/>
        <v>1461.7900000000009</v>
      </c>
      <c r="J341" s="2">
        <f t="shared" si="47"/>
        <v>111.42262400000001</v>
      </c>
      <c r="K341" s="2">
        <f t="shared" si="48"/>
        <v>401.8203340799999</v>
      </c>
      <c r="L341" s="2">
        <f t="shared" si="39"/>
        <v>7377.0229580800005</v>
      </c>
      <c r="M341" s="2">
        <f t="shared" si="40"/>
        <v>815.81704191999961</v>
      </c>
      <c r="N341" s="2">
        <f t="shared" si="42"/>
        <v>-11143.71460336</v>
      </c>
      <c r="O341" s="2">
        <f t="shared" si="41"/>
        <v>1217.6373759999994</v>
      </c>
      <c r="P341" s="2">
        <f t="shared" si="43"/>
        <v>-9870.4943500000027</v>
      </c>
    </row>
    <row r="342" spans="1:16">
      <c r="A342">
        <v>13</v>
      </c>
      <c r="B342">
        <v>8192.84</v>
      </c>
      <c r="E342">
        <v>8192.84</v>
      </c>
      <c r="G342">
        <f t="shared" si="44"/>
        <v>3002.47</v>
      </c>
      <c r="H342">
        <f t="shared" si="45"/>
        <v>2278.62</v>
      </c>
      <c r="I342">
        <f t="shared" si="46"/>
        <v>1461.7900000000009</v>
      </c>
      <c r="J342" s="2">
        <f t="shared" si="47"/>
        <v>111.42262400000001</v>
      </c>
      <c r="K342" s="2">
        <f t="shared" si="48"/>
        <v>461.26323407999996</v>
      </c>
      <c r="L342" s="2">
        <f t="shared" si="39"/>
        <v>7315.5658580800009</v>
      </c>
      <c r="M342" s="2">
        <f t="shared" si="40"/>
        <v>877.27414191999924</v>
      </c>
      <c r="N342" s="2">
        <f t="shared" si="42"/>
        <v>-10266.440461440001</v>
      </c>
      <c r="O342" s="2">
        <f t="shared" si="41"/>
        <v>1338.5373759999993</v>
      </c>
      <c r="P342" s="2">
        <f t="shared" si="43"/>
        <v>-8531.9569740000043</v>
      </c>
    </row>
    <row r="343" spans="1:16">
      <c r="A343">
        <v>14</v>
      </c>
      <c r="B343">
        <v>8192.84</v>
      </c>
      <c r="E343">
        <v>8192.84</v>
      </c>
      <c r="G343">
        <f t="shared" si="44"/>
        <v>3107.11</v>
      </c>
      <c r="H343">
        <f t="shared" si="45"/>
        <v>2094.87</v>
      </c>
      <c r="I343">
        <f t="shared" si="46"/>
        <v>1461.7900000000009</v>
      </c>
      <c r="J343" s="2">
        <f t="shared" si="47"/>
        <v>111.42262400000001</v>
      </c>
      <c r="K343" s="2">
        <f t="shared" si="48"/>
        <v>521.90073408000001</v>
      </c>
      <c r="L343" s="2">
        <f t="shared" si="39"/>
        <v>7297.0933580800001</v>
      </c>
      <c r="M343" s="2">
        <f t="shared" si="40"/>
        <v>895.74664192</v>
      </c>
      <c r="N343" s="2">
        <f t="shared" si="42"/>
        <v>-9370.6938195200019</v>
      </c>
      <c r="O343" s="2">
        <f t="shared" si="41"/>
        <v>1417.6473759999999</v>
      </c>
      <c r="P343" s="2">
        <f t="shared" si="43"/>
        <v>-7114.3095980000044</v>
      </c>
    </row>
    <row r="344" spans="1:16">
      <c r="A344">
        <v>15</v>
      </c>
      <c r="B344">
        <v>8192.84</v>
      </c>
      <c r="E344">
        <v>8192.84</v>
      </c>
      <c r="G344">
        <f t="shared" si="44"/>
        <v>3222.61</v>
      </c>
      <c r="H344">
        <f t="shared" si="45"/>
        <v>1904.72</v>
      </c>
      <c r="I344">
        <f t="shared" si="46"/>
        <v>1449.1500000000008</v>
      </c>
      <c r="J344" s="2">
        <f t="shared" si="47"/>
        <v>111.42262400000001</v>
      </c>
      <c r="K344" s="2">
        <f t="shared" si="48"/>
        <v>588.8214340799999</v>
      </c>
      <c r="L344" s="2">
        <f t="shared" si="39"/>
        <v>7276.7240580799998</v>
      </c>
      <c r="M344" s="2">
        <f t="shared" si="40"/>
        <v>916.1159419200003</v>
      </c>
      <c r="N344" s="2">
        <f t="shared" si="42"/>
        <v>-8454.5778776000006</v>
      </c>
      <c r="O344" s="2">
        <f t="shared" si="41"/>
        <v>1504.9373760000003</v>
      </c>
      <c r="P344" s="2">
        <f t="shared" si="43"/>
        <v>-5609.3722220000036</v>
      </c>
    </row>
    <row r="345" spans="1:16">
      <c r="A345">
        <v>16</v>
      </c>
      <c r="B345">
        <v>8192.84</v>
      </c>
      <c r="E345">
        <v>8192.84</v>
      </c>
      <c r="G345">
        <f t="shared" si="44"/>
        <v>3334.92</v>
      </c>
      <c r="H345">
        <f t="shared" si="45"/>
        <v>1707.49</v>
      </c>
      <c r="I345">
        <f t="shared" si="46"/>
        <v>1449.1500000000003</v>
      </c>
      <c r="J345" s="2">
        <f t="shared" si="47"/>
        <v>111.42262400000001</v>
      </c>
      <c r="K345" s="2">
        <f t="shared" si="48"/>
        <v>653.90733408000006</v>
      </c>
      <c r="L345" s="2">
        <f t="shared" si="39"/>
        <v>7256.8899580800007</v>
      </c>
      <c r="M345" s="2">
        <f t="shared" si="40"/>
        <v>935.95004191999942</v>
      </c>
      <c r="N345" s="2">
        <f t="shared" si="42"/>
        <v>-7518.6278356800012</v>
      </c>
      <c r="O345" s="2">
        <f t="shared" si="41"/>
        <v>1589.8573759999995</v>
      </c>
      <c r="P345" s="2">
        <f t="shared" si="43"/>
        <v>-4019.5148460000041</v>
      </c>
    </row>
    <row r="346" spans="1:16">
      <c r="A346">
        <v>17</v>
      </c>
      <c r="B346">
        <v>8192.84</v>
      </c>
      <c r="E346">
        <v>8192.84</v>
      </c>
      <c r="G346">
        <f t="shared" si="44"/>
        <v>3451.16</v>
      </c>
      <c r="H346">
        <f t="shared" si="45"/>
        <v>1503.4</v>
      </c>
      <c r="I346">
        <f t="shared" si="46"/>
        <v>1449.150000000001</v>
      </c>
      <c r="J346" s="2">
        <f t="shared" si="47"/>
        <v>111.42262400000001</v>
      </c>
      <c r="K346" s="2">
        <f t="shared" si="48"/>
        <v>721.25703407999981</v>
      </c>
      <c r="L346" s="2">
        <f t="shared" si="39"/>
        <v>7236.389658080001</v>
      </c>
      <c r="M346" s="2">
        <f t="shared" si="40"/>
        <v>956.45034191999912</v>
      </c>
      <c r="N346" s="2">
        <f t="shared" si="42"/>
        <v>-6562.1774937600021</v>
      </c>
      <c r="O346" s="2">
        <f t="shared" si="41"/>
        <v>1677.7073759999989</v>
      </c>
      <c r="P346" s="2">
        <f t="shared" si="43"/>
        <v>-2341.8074700000052</v>
      </c>
    </row>
    <row r="347" spans="1:16">
      <c r="A347">
        <v>18</v>
      </c>
      <c r="B347">
        <v>8192.84</v>
      </c>
      <c r="E347">
        <v>8192.84</v>
      </c>
      <c r="G347">
        <f t="shared" si="44"/>
        <v>3571.44</v>
      </c>
      <c r="H347">
        <f t="shared" si="45"/>
        <v>1292.18</v>
      </c>
      <c r="I347">
        <f t="shared" si="46"/>
        <v>1449.1500000000008</v>
      </c>
      <c r="J347" s="2">
        <f t="shared" si="47"/>
        <v>111.42262400000001</v>
      </c>
      <c r="K347" s="2">
        <f t="shared" si="48"/>
        <v>790.95963407999989</v>
      </c>
      <c r="L347" s="2">
        <f t="shared" si="39"/>
        <v>7215.1522580800001</v>
      </c>
      <c r="M347" s="2">
        <f t="shared" si="40"/>
        <v>977.68774192000001</v>
      </c>
      <c r="N347" s="2">
        <f t="shared" si="42"/>
        <v>-5584.4897518400021</v>
      </c>
      <c r="O347" s="2">
        <f t="shared" si="41"/>
        <v>1768.6473759999999</v>
      </c>
      <c r="P347" s="2">
        <f t="shared" si="43"/>
        <v>-573.1600940000053</v>
      </c>
    </row>
    <row r="348" spans="1:16">
      <c r="A348">
        <v>19</v>
      </c>
      <c r="B348">
        <v>8192.84</v>
      </c>
      <c r="E348">
        <v>8192.84</v>
      </c>
      <c r="G348">
        <f t="shared" si="44"/>
        <v>3695.92</v>
      </c>
      <c r="H348">
        <f t="shared" si="45"/>
        <v>1073.6099999999999</v>
      </c>
      <c r="I348">
        <f t="shared" si="46"/>
        <v>1449.1500000000003</v>
      </c>
      <c r="J348" s="2">
        <f t="shared" si="47"/>
        <v>111.42262400000001</v>
      </c>
      <c r="K348" s="2">
        <f t="shared" si="48"/>
        <v>863.08773408000013</v>
      </c>
      <c r="L348" s="2">
        <f t="shared" si="39"/>
        <v>7193.1903580799999</v>
      </c>
      <c r="M348" s="2">
        <f t="shared" si="40"/>
        <v>999.64964192000025</v>
      </c>
      <c r="N348" s="2">
        <f t="shared" si="42"/>
        <v>-4584.8401099200019</v>
      </c>
      <c r="O348" s="2">
        <f t="shared" si="41"/>
        <v>1862.7373760000005</v>
      </c>
      <c r="P348" s="2">
        <f t="shared" si="43"/>
        <v>1289.5772819999952</v>
      </c>
    </row>
    <row r="349" spans="1:16">
      <c r="A349">
        <v>20</v>
      </c>
      <c r="B349">
        <v>8192.84</v>
      </c>
      <c r="E349">
        <v>8192.84</v>
      </c>
      <c r="G349">
        <f t="shared" si="44"/>
        <v>3824.73</v>
      </c>
      <c r="H349">
        <f t="shared" si="45"/>
        <v>847.42</v>
      </c>
      <c r="I349">
        <f t="shared" si="46"/>
        <v>1449.1500000000005</v>
      </c>
      <c r="J349" s="2">
        <f t="shared" si="47"/>
        <v>111.42262400000001</v>
      </c>
      <c r="K349" s="2">
        <f t="shared" si="48"/>
        <v>937.73043408000001</v>
      </c>
      <c r="L349" s="2">
        <f t="shared" si="39"/>
        <v>7170.4530580800001</v>
      </c>
      <c r="M349" s="2">
        <f t="shared" si="40"/>
        <v>1022.38694192</v>
      </c>
      <c r="N349" s="2">
        <f t="shared" si="42"/>
        <v>-3562.4531680000018</v>
      </c>
      <c r="O349" s="2">
        <f t="shared" si="41"/>
        <v>1960.1173760000001</v>
      </c>
      <c r="P349" s="2">
        <f t="shared" si="43"/>
        <v>3249.6946579999953</v>
      </c>
    </row>
    <row r="350" spans="1:16">
      <c r="A350">
        <v>21</v>
      </c>
      <c r="B350">
        <v>8192.84</v>
      </c>
      <c r="E350">
        <v>8192.84</v>
      </c>
      <c r="G350">
        <f t="shared" si="44"/>
        <v>3958.04</v>
      </c>
      <c r="H350">
        <f>J68</f>
        <v>613.35</v>
      </c>
      <c r="I350">
        <f t="shared" si="46"/>
        <v>1449.150000000001</v>
      </c>
      <c r="J350" s="2">
        <f t="shared" si="47"/>
        <v>111.42262400000001</v>
      </c>
      <c r="K350" s="2">
        <f t="shared" si="48"/>
        <v>1014.9735340799999</v>
      </c>
      <c r="L350" s="2">
        <f t="shared" si="39"/>
        <v>7146.9361580800005</v>
      </c>
      <c r="M350" s="2">
        <f t="shared" si="40"/>
        <v>1045.9038419199996</v>
      </c>
      <c r="N350" s="2">
        <f t="shared" si="42"/>
        <v>-2516.5493260800022</v>
      </c>
      <c r="O350" s="2">
        <f t="shared" si="41"/>
        <v>2060.8773759999995</v>
      </c>
      <c r="P350" s="2">
        <f t="shared" si="43"/>
        <v>5310.5720339999953</v>
      </c>
    </row>
    <row r="351" spans="1:16">
      <c r="A351">
        <v>22</v>
      </c>
      <c r="B351">
        <v>8192.84</v>
      </c>
      <c r="E351">
        <v>8192.84</v>
      </c>
      <c r="G351">
        <f t="shared" si="44"/>
        <v>4095.99</v>
      </c>
      <c r="H351">
        <f t="shared" si="45"/>
        <v>371.12</v>
      </c>
      <c r="I351">
        <f t="shared" si="46"/>
        <v>1449.1500000000005</v>
      </c>
      <c r="J351" s="2">
        <f t="shared" si="47"/>
        <v>111.42262400000001</v>
      </c>
      <c r="K351" s="2">
        <f t="shared" si="48"/>
        <v>1094.90943408</v>
      </c>
      <c r="L351" s="2">
        <f t="shared" si="39"/>
        <v>7122.5920580800002</v>
      </c>
      <c r="M351" s="2">
        <f t="shared" si="40"/>
        <v>1070.2479419199999</v>
      </c>
      <c r="N351" s="2">
        <f t="shared" si="42"/>
        <v>-1446.3013841600023</v>
      </c>
      <c r="O351" s="2">
        <f t="shared" si="41"/>
        <v>2165.1573760000001</v>
      </c>
      <c r="P351" s="2">
        <f t="shared" si="43"/>
        <v>7475.7294099999954</v>
      </c>
    </row>
    <row r="352" spans="1:16">
      <c r="A352">
        <v>23</v>
      </c>
      <c r="B352">
        <v>8192.84</v>
      </c>
      <c r="E352">
        <v>8192.84</v>
      </c>
      <c r="G352">
        <f t="shared" si="44"/>
        <v>1904.2</v>
      </c>
      <c r="H352">
        <f t="shared" si="45"/>
        <v>120.44</v>
      </c>
      <c r="I352">
        <f t="shared" si="46"/>
        <v>1449.15</v>
      </c>
      <c r="J352" s="2">
        <f t="shared" si="47"/>
        <v>111.42262400000001</v>
      </c>
      <c r="K352" s="2">
        <f t="shared" si="48"/>
        <v>1177.6338340800003</v>
      </c>
      <c r="L352" s="2">
        <f t="shared" si="39"/>
        <v>4762.84645808</v>
      </c>
      <c r="M352" s="2">
        <f t="shared" si="40"/>
        <v>3429.9935419200001</v>
      </c>
      <c r="N352" s="2">
        <f t="shared" si="42"/>
        <v>1983.6921577599978</v>
      </c>
      <c r="O352" s="2">
        <f t="shared" si="41"/>
        <v>4607.6273760000004</v>
      </c>
      <c r="P352" s="2">
        <f t="shared" si="43"/>
        <v>12083.356785999997</v>
      </c>
    </row>
    <row r="353" spans="1:16">
      <c r="A353">
        <v>24</v>
      </c>
      <c r="B353">
        <v>8192.84</v>
      </c>
      <c r="E353">
        <v>8192.84</v>
      </c>
      <c r="H353">
        <f t="shared" si="45"/>
        <v>3.91</v>
      </c>
      <c r="I353">
        <f>N71</f>
        <v>1449.1500000000003</v>
      </c>
      <c r="J353" s="2">
        <f t="shared" si="47"/>
        <v>111.42262400000001</v>
      </c>
      <c r="K353" s="2">
        <f t="shared" si="48"/>
        <v>1216.08873408</v>
      </c>
      <c r="L353" s="2">
        <f t="shared" si="39"/>
        <v>2780.5713580800002</v>
      </c>
      <c r="M353" s="2">
        <f t="shared" si="40"/>
        <v>5412.2686419199999</v>
      </c>
      <c r="N353" s="2">
        <f t="shared" si="42"/>
        <v>7395.9607996799978</v>
      </c>
      <c r="O353" s="2">
        <f t="shared" si="41"/>
        <v>6628.3573759999999</v>
      </c>
      <c r="P353" s="2">
        <f t="shared" si="43"/>
        <v>18711.714161999997</v>
      </c>
    </row>
    <row r="354" spans="1:16">
      <c r="A354">
        <v>25</v>
      </c>
      <c r="B354">
        <v>8192.84</v>
      </c>
      <c r="E354">
        <v>8192.84</v>
      </c>
      <c r="H354">
        <f t="shared" si="45"/>
        <v>3.91</v>
      </c>
      <c r="I354">
        <f t="shared" si="46"/>
        <v>1449.1500000000003</v>
      </c>
      <c r="J354" s="2">
        <f t="shared" si="47"/>
        <v>111.42262400000001</v>
      </c>
      <c r="K354" s="2">
        <f t="shared" si="48"/>
        <v>1216.08873408</v>
      </c>
      <c r="L354" s="2">
        <f t="shared" si="39"/>
        <v>2780.5713580800002</v>
      </c>
      <c r="M354" s="2">
        <f t="shared" si="40"/>
        <v>5412.2686419199999</v>
      </c>
      <c r="N354" s="2">
        <f t="shared" si="42"/>
        <v>12808.229441599997</v>
      </c>
      <c r="O354" s="2">
        <f t="shared" si="41"/>
        <v>6628.3573759999999</v>
      </c>
      <c r="P354" s="2">
        <f t="shared" si="43"/>
        <v>25340.071537999997</v>
      </c>
    </row>
    <row r="355" spans="1:16">
      <c r="A355">
        <v>26</v>
      </c>
      <c r="B355">
        <v>8192.84</v>
      </c>
      <c r="E355">
        <v>8192.84</v>
      </c>
      <c r="H355">
        <f t="shared" si="45"/>
        <v>3.91</v>
      </c>
      <c r="I355">
        <f t="shared" si="46"/>
        <v>1449.1500000000003</v>
      </c>
      <c r="J355" s="2">
        <f t="shared" si="47"/>
        <v>111.42262400000001</v>
      </c>
      <c r="K355" s="2">
        <f t="shared" si="48"/>
        <v>1216.08873408</v>
      </c>
      <c r="L355" s="2">
        <f t="shared" si="39"/>
        <v>2780.5713580800002</v>
      </c>
      <c r="M355" s="2">
        <f t="shared" si="40"/>
        <v>5412.2686419199999</v>
      </c>
      <c r="N355" s="2">
        <f t="shared" si="42"/>
        <v>18220.498083519997</v>
      </c>
      <c r="O355" s="2">
        <f t="shared" si="41"/>
        <v>6628.3573759999999</v>
      </c>
      <c r="P355" s="2">
        <f t="shared" si="43"/>
        <v>31968.428913999996</v>
      </c>
    </row>
    <row r="356" spans="1:16">
      <c r="A356">
        <v>27</v>
      </c>
      <c r="B356">
        <v>8192.84</v>
      </c>
      <c r="E356">
        <v>8192.84</v>
      </c>
      <c r="H356">
        <f t="shared" si="45"/>
        <v>3.91</v>
      </c>
      <c r="I356">
        <f t="shared" si="46"/>
        <v>1449.1500000000003</v>
      </c>
      <c r="J356" s="2">
        <f t="shared" si="47"/>
        <v>111.42262400000001</v>
      </c>
      <c r="K356" s="2">
        <f t="shared" si="48"/>
        <v>1216.08873408</v>
      </c>
      <c r="L356" s="2">
        <f t="shared" si="39"/>
        <v>2780.5713580800002</v>
      </c>
      <c r="M356" s="2">
        <f t="shared" si="40"/>
        <v>5412.2686419199999</v>
      </c>
      <c r="N356" s="2">
        <f t="shared" si="42"/>
        <v>23632.766725439997</v>
      </c>
      <c r="O356" s="2">
        <f t="shared" si="41"/>
        <v>6628.3573759999999</v>
      </c>
      <c r="P356" s="2">
        <f t="shared" si="43"/>
        <v>38596.786289999996</v>
      </c>
    </row>
    <row r="357" spans="1:16">
      <c r="A357">
        <v>28</v>
      </c>
      <c r="B357">
        <v>8192.84</v>
      </c>
      <c r="E357">
        <v>8192.84</v>
      </c>
      <c r="H357">
        <f t="shared" si="45"/>
        <v>3.91</v>
      </c>
      <c r="I357">
        <f t="shared" si="46"/>
        <v>1449.1500000000003</v>
      </c>
      <c r="J357" s="2">
        <f t="shared" si="47"/>
        <v>111.42262400000001</v>
      </c>
      <c r="K357" s="2">
        <f t="shared" si="48"/>
        <v>1216.08873408</v>
      </c>
      <c r="L357" s="2">
        <f t="shared" si="39"/>
        <v>2780.5713580800002</v>
      </c>
      <c r="M357" s="2">
        <f t="shared" si="40"/>
        <v>5412.2686419199999</v>
      </c>
      <c r="N357" s="2">
        <f t="shared" si="42"/>
        <v>29045.035367359997</v>
      </c>
      <c r="O357" s="2">
        <f t="shared" si="41"/>
        <v>6628.3573759999999</v>
      </c>
      <c r="P357" s="2">
        <f t="shared" si="43"/>
        <v>45225.143665999996</v>
      </c>
    </row>
    <row r="358" spans="1:16">
      <c r="A358">
        <v>29</v>
      </c>
      <c r="B358">
        <v>8192.84</v>
      </c>
      <c r="E358">
        <v>8192.84</v>
      </c>
      <c r="H358">
        <f t="shared" si="45"/>
        <v>3.91</v>
      </c>
      <c r="I358">
        <f t="shared" si="46"/>
        <v>1449.1500000000003</v>
      </c>
      <c r="J358" s="2">
        <f t="shared" si="47"/>
        <v>111.42262400000001</v>
      </c>
      <c r="K358" s="2">
        <f t="shared" si="48"/>
        <v>1216.08873408</v>
      </c>
      <c r="L358" s="2">
        <f t="shared" si="39"/>
        <v>2780.5713580800002</v>
      </c>
      <c r="M358" s="2">
        <f t="shared" si="40"/>
        <v>5412.2686419199999</v>
      </c>
      <c r="N358" s="2">
        <f t="shared" si="42"/>
        <v>34457.304009279993</v>
      </c>
      <c r="O358" s="2">
        <f t="shared" si="41"/>
        <v>6628.3573759999999</v>
      </c>
      <c r="P358" s="2">
        <f t="shared" si="43"/>
        <v>51853.501041999996</v>
      </c>
    </row>
    <row r="359" spans="1:16">
      <c r="A359">
        <v>30</v>
      </c>
      <c r="B359">
        <v>8192.84</v>
      </c>
      <c r="E359">
        <v>8192.84</v>
      </c>
      <c r="H359">
        <f t="shared" si="45"/>
        <v>3.91</v>
      </c>
      <c r="I359">
        <f t="shared" si="46"/>
        <v>1449.1499999999994</v>
      </c>
      <c r="J359" s="2">
        <f>F118</f>
        <v>111.42262400000001</v>
      </c>
      <c r="K359" s="2">
        <f t="shared" si="48"/>
        <v>1580.3229340800003</v>
      </c>
      <c r="L359" s="2">
        <f t="shared" si="39"/>
        <v>3144.8055580800001</v>
      </c>
      <c r="M359" s="2">
        <f t="shared" si="40"/>
        <v>5048.0344419200001</v>
      </c>
      <c r="N359" s="2">
        <f t="shared" si="42"/>
        <v>39505.33845119999</v>
      </c>
      <c r="O359" s="2">
        <f t="shared" si="41"/>
        <v>6628.3573759999999</v>
      </c>
      <c r="P359" s="2">
        <f t="shared" si="43"/>
        <v>58481.858417999996</v>
      </c>
    </row>
    <row r="360" spans="1:16">
      <c r="A360">
        <v>31</v>
      </c>
      <c r="B360">
        <v>8192.84</v>
      </c>
      <c r="E360">
        <v>8192.84</v>
      </c>
      <c r="H360">
        <f t="shared" si="45"/>
        <v>3.91</v>
      </c>
      <c r="I360">
        <f t="shared" si="46"/>
        <v>1449.15</v>
      </c>
      <c r="J360" s="2">
        <f t="shared" si="47"/>
        <v>111.42262400000001</v>
      </c>
      <c r="K360" s="2">
        <f t="shared" si="48"/>
        <v>2187.3579340800002</v>
      </c>
      <c r="L360" s="2">
        <f t="shared" si="39"/>
        <v>3751.8405580800004</v>
      </c>
      <c r="M360" s="2">
        <f t="shared" si="40"/>
        <v>4440.9994419199993</v>
      </c>
      <c r="N360" s="2">
        <f t="shared" si="42"/>
        <v>43946.337893119991</v>
      </c>
      <c r="O360" s="2">
        <f t="shared" si="41"/>
        <v>6628.3573759999999</v>
      </c>
      <c r="P360" s="2">
        <f t="shared" si="43"/>
        <v>65110.215793999996</v>
      </c>
    </row>
    <row r="361" spans="1:16">
      <c r="A361">
        <v>32</v>
      </c>
      <c r="B361">
        <v>8192.84</v>
      </c>
      <c r="E361">
        <v>8192.84</v>
      </c>
      <c r="H361">
        <f t="shared" si="45"/>
        <v>3.91</v>
      </c>
      <c r="I361">
        <f t="shared" si="46"/>
        <v>1449.15</v>
      </c>
      <c r="J361" s="2">
        <f t="shared" si="47"/>
        <v>111.42262400000001</v>
      </c>
      <c r="K361" s="2">
        <f t="shared" si="48"/>
        <v>2187.3579340800002</v>
      </c>
      <c r="L361" s="2">
        <f t="shared" si="39"/>
        <v>3751.8405580800004</v>
      </c>
      <c r="M361" s="2">
        <f t="shared" si="40"/>
        <v>4440.9994419199993</v>
      </c>
      <c r="N361" s="2">
        <f t="shared" si="42"/>
        <v>48387.337335039992</v>
      </c>
      <c r="O361" s="2">
        <f t="shared" si="41"/>
        <v>6628.3573759999999</v>
      </c>
      <c r="P361" s="2">
        <f t="shared" si="43"/>
        <v>71738.573169999989</v>
      </c>
    </row>
    <row r="362" spans="1:16">
      <c r="A362">
        <v>33</v>
      </c>
      <c r="B362">
        <v>8192.84</v>
      </c>
      <c r="E362">
        <v>8192.84</v>
      </c>
      <c r="H362">
        <f t="shared" si="45"/>
        <v>3.91</v>
      </c>
      <c r="I362">
        <f t="shared" si="46"/>
        <v>1449.15</v>
      </c>
      <c r="J362" s="2">
        <f t="shared" si="47"/>
        <v>111.42262400000001</v>
      </c>
      <c r="K362" s="2">
        <f t="shared" si="48"/>
        <v>2187.3579340800002</v>
      </c>
      <c r="L362" s="2">
        <f t="shared" si="39"/>
        <v>3751.8405580800004</v>
      </c>
      <c r="M362" s="2">
        <f t="shared" si="40"/>
        <v>4440.9994419199993</v>
      </c>
      <c r="N362" s="2">
        <f t="shared" si="42"/>
        <v>52828.336776959994</v>
      </c>
      <c r="O362" s="2">
        <f t="shared" si="41"/>
        <v>6628.3573759999999</v>
      </c>
      <c r="P362" s="2">
        <f t="shared" si="43"/>
        <v>78366.930545999989</v>
      </c>
    </row>
    <row r="363" spans="1:16">
      <c r="A363">
        <v>34</v>
      </c>
      <c r="B363">
        <v>8192.84</v>
      </c>
      <c r="E363">
        <v>8192.84</v>
      </c>
      <c r="H363">
        <f t="shared" si="45"/>
        <v>3.91</v>
      </c>
      <c r="I363">
        <f t="shared" si="46"/>
        <v>1449.15</v>
      </c>
      <c r="J363" s="2">
        <f t="shared" si="47"/>
        <v>111.42262400000001</v>
      </c>
      <c r="K363" s="2">
        <f t="shared" si="48"/>
        <v>2187.3579340800002</v>
      </c>
      <c r="L363" s="2">
        <f t="shared" si="39"/>
        <v>3751.8405580800004</v>
      </c>
      <c r="M363" s="2">
        <f t="shared" si="40"/>
        <v>4440.9994419199993</v>
      </c>
      <c r="N363" s="2">
        <f t="shared" si="42"/>
        <v>57269.336218879995</v>
      </c>
      <c r="O363" s="2">
        <f t="shared" si="41"/>
        <v>6628.3573759999999</v>
      </c>
      <c r="P363" s="2">
        <f t="shared" si="43"/>
        <v>84995.287921999989</v>
      </c>
    </row>
    <row r="364" spans="1:16">
      <c r="A364">
        <v>35</v>
      </c>
      <c r="B364">
        <v>8192.84</v>
      </c>
      <c r="D364">
        <v>100</v>
      </c>
      <c r="E364">
        <v>8292.84</v>
      </c>
      <c r="H364">
        <f t="shared" si="45"/>
        <v>3.91</v>
      </c>
      <c r="I364">
        <f t="shared" si="46"/>
        <v>1449.15</v>
      </c>
      <c r="J364" s="2">
        <f t="shared" si="47"/>
        <v>111.42262400000001</v>
      </c>
      <c r="K364" s="2">
        <f t="shared" si="48"/>
        <v>2187.3579340800002</v>
      </c>
      <c r="L364" s="2">
        <f t="shared" si="39"/>
        <v>3751.8405580800004</v>
      </c>
      <c r="M364" s="2">
        <f t="shared" si="40"/>
        <v>4540.9994419199993</v>
      </c>
      <c r="N364" s="2">
        <f t="shared" si="42"/>
        <v>61810.335660799996</v>
      </c>
      <c r="O364" s="2">
        <f t="shared" si="41"/>
        <v>6728.3573759999999</v>
      </c>
      <c r="P364" s="2">
        <f t="shared" si="43"/>
        <v>91723.645297999989</v>
      </c>
    </row>
    <row r="365" spans="1:16">
      <c r="B365">
        <f t="shared" ref="B365:G365" si="49">SUM(B330:B364)</f>
        <v>248857.56999999992</v>
      </c>
      <c r="C365">
        <f t="shared" si="49"/>
        <v>0</v>
      </c>
      <c r="D365">
        <f t="shared" si="49"/>
        <v>100</v>
      </c>
      <c r="E365">
        <f t="shared" si="49"/>
        <v>248957.56999999992</v>
      </c>
      <c r="F365">
        <f t="shared" si="49"/>
        <v>14735.98</v>
      </c>
      <c r="G365">
        <f t="shared" si="49"/>
        <v>58874.999999999993</v>
      </c>
      <c r="H365">
        <f>SUM(H334:H364)</f>
        <v>35912.890000000043</v>
      </c>
      <c r="I365">
        <f>SUM(I334:I364)</f>
        <v>44325.591750000036</v>
      </c>
      <c r="J365" s="2">
        <v>3384.4629519999985</v>
      </c>
      <c r="K365" s="2">
        <v>29913.309637199996</v>
      </c>
      <c r="L365" s="2">
        <f>SUM(L330:L364)</f>
        <v>187147.23433919996</v>
      </c>
      <c r="M365" s="2">
        <f t="shared" si="40"/>
        <v>61810.335660799959</v>
      </c>
      <c r="O365" s="2">
        <f t="shared" si="41"/>
        <v>91723.645297999959</v>
      </c>
    </row>
    <row r="367" spans="1:16">
      <c r="E367" t="s">
        <v>72</v>
      </c>
      <c r="F367" s="1" t="s">
        <v>73</v>
      </c>
      <c r="G367" s="8">
        <f>IRR(M330:M364)</f>
        <v>8.0000035591967444E-2</v>
      </c>
      <c r="I367" s="1" t="s">
        <v>75</v>
      </c>
      <c r="J367" s="6" t="s">
        <v>88</v>
      </c>
      <c r="K367" s="1" t="s">
        <v>87</v>
      </c>
      <c r="L367" s="6">
        <v>0</v>
      </c>
    </row>
    <row r="368" spans="1:16">
      <c r="E368" t="s">
        <v>77</v>
      </c>
      <c r="F368" s="1" t="s">
        <v>73</v>
      </c>
      <c r="G368" s="7">
        <f>IRR(O330:O364)</f>
        <v>0.10010885839736683</v>
      </c>
      <c r="I368" s="1" t="s">
        <v>75</v>
      </c>
      <c r="J368" s="6" t="s">
        <v>89</v>
      </c>
      <c r="K368" s="1" t="s">
        <v>87</v>
      </c>
      <c r="L368" s="6">
        <f>NPV(0.08,O330:O364)</f>
        <v>4672.0801268392188</v>
      </c>
    </row>
    <row r="370" spans="1:18" ht="31">
      <c r="A370" s="41" t="s">
        <v>154</v>
      </c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8">
      <c r="A371" s="33" t="s">
        <v>159</v>
      </c>
      <c r="B371" s="33" t="s">
        <v>160</v>
      </c>
      <c r="C371" s="33" t="s">
        <v>161</v>
      </c>
      <c r="D371" s="33" t="s">
        <v>162</v>
      </c>
      <c r="E371" s="33"/>
    </row>
    <row r="372" spans="1:18">
      <c r="A372" s="33" t="s">
        <v>163</v>
      </c>
      <c r="B372" s="33" t="s">
        <v>164</v>
      </c>
      <c r="C372" s="33">
        <f>B14</f>
        <v>68082.14</v>
      </c>
      <c r="D372" s="33" t="s">
        <v>158</v>
      </c>
      <c r="E372" s="33"/>
    </row>
    <row r="373" spans="1:18">
      <c r="A373" s="33" t="s">
        <v>94</v>
      </c>
      <c r="B373" s="33" t="s">
        <v>164</v>
      </c>
      <c r="C373" s="33">
        <f>C24</f>
        <v>5498.8</v>
      </c>
      <c r="D373" s="33"/>
      <c r="E373" s="33"/>
    </row>
    <row r="374" spans="1:18">
      <c r="A374" s="33" t="s">
        <v>95</v>
      </c>
      <c r="B374" s="33" t="s">
        <v>164</v>
      </c>
      <c r="C374" s="33">
        <f>C13</f>
        <v>100</v>
      </c>
      <c r="D374" s="33"/>
      <c r="E374" s="33"/>
      <c r="Q374">
        <v>2020.77</v>
      </c>
      <c r="R374">
        <f>Q374/4355.29</f>
        <v>0.46398058453053642</v>
      </c>
    </row>
    <row r="375" spans="1:18">
      <c r="A375" s="33" t="s">
        <v>165</v>
      </c>
      <c r="B375" s="33" t="s">
        <v>164</v>
      </c>
      <c r="C375" s="33">
        <f>SUM(C372:C374)</f>
        <v>73680.94</v>
      </c>
      <c r="D375" s="33"/>
      <c r="E375" s="33"/>
    </row>
    <row r="376" spans="1:18">
      <c r="A376" s="33" t="s">
        <v>166</v>
      </c>
      <c r="B376" s="33" t="s">
        <v>167</v>
      </c>
      <c r="C376" s="33">
        <v>0.21290000000000001</v>
      </c>
      <c r="D376" s="33"/>
      <c r="E376" s="33"/>
    </row>
    <row r="377" spans="1:18">
      <c r="A377" s="33" t="s">
        <v>168</v>
      </c>
      <c r="B377" s="33" t="s">
        <v>157</v>
      </c>
      <c r="C377" s="33">
        <v>6808</v>
      </c>
      <c r="D377" s="33"/>
      <c r="E377" s="33"/>
    </row>
    <row r="378" spans="1:18">
      <c r="A378" s="33" t="s">
        <v>169</v>
      </c>
      <c r="B378" s="33" t="s">
        <v>157</v>
      </c>
      <c r="C378" s="33">
        <v>7368</v>
      </c>
      <c r="D378" s="33"/>
      <c r="E378" s="33"/>
    </row>
    <row r="379" spans="1:18">
      <c r="A379" s="33" t="s">
        <v>170</v>
      </c>
      <c r="B379" s="33" t="s">
        <v>167</v>
      </c>
      <c r="C379" s="33">
        <v>1.68</v>
      </c>
      <c r="D379" s="33"/>
      <c r="E379" s="33"/>
    </row>
    <row r="380" spans="1:18">
      <c r="A380" s="33" t="s">
        <v>155</v>
      </c>
      <c r="B380" s="33" t="s">
        <v>167</v>
      </c>
      <c r="C380" s="33">
        <v>1.81</v>
      </c>
      <c r="D380" s="33"/>
      <c r="E380" s="33"/>
    </row>
    <row r="381" spans="1:18">
      <c r="A381" s="33" t="s">
        <v>171</v>
      </c>
      <c r="B381" s="33" t="s">
        <v>172</v>
      </c>
      <c r="C381" s="33">
        <v>7.13</v>
      </c>
      <c r="D381" s="33"/>
      <c r="E381" s="33"/>
    </row>
    <row r="382" spans="1:18">
      <c r="A382" s="33" t="s">
        <v>173</v>
      </c>
      <c r="B382" s="33" t="s">
        <v>172</v>
      </c>
      <c r="C382" s="33">
        <v>8</v>
      </c>
      <c r="D382" s="33"/>
      <c r="E382" s="33"/>
    </row>
    <row r="383" spans="1:18">
      <c r="A383" s="33" t="s">
        <v>174</v>
      </c>
      <c r="B383" s="33" t="s">
        <v>175</v>
      </c>
      <c r="C383" s="34" t="str">
        <f>J323</f>
        <v>15.42年</v>
      </c>
      <c r="D383" s="33"/>
      <c r="E383" s="33"/>
    </row>
    <row r="384" spans="1:18">
      <c r="A384" s="33" t="s">
        <v>176</v>
      </c>
      <c r="B384" s="33" t="s">
        <v>175</v>
      </c>
      <c r="C384" s="33">
        <v>21.46</v>
      </c>
      <c r="D384" s="33" t="s">
        <v>177</v>
      </c>
      <c r="E384" s="33"/>
    </row>
    <row r="385" spans="1:20">
      <c r="A385" s="33" t="s">
        <v>156</v>
      </c>
      <c r="B385" s="33" t="s">
        <v>172</v>
      </c>
      <c r="C385" s="35">
        <f>Q247</f>
        <v>79.675626636149005</v>
      </c>
      <c r="D385" s="33" t="s">
        <v>178</v>
      </c>
      <c r="E385" s="33"/>
    </row>
    <row r="386" spans="1:20">
      <c r="A386" s="33" t="s">
        <v>156</v>
      </c>
      <c r="B386" s="33" t="s">
        <v>172</v>
      </c>
      <c r="C386" s="33">
        <v>59.18</v>
      </c>
      <c r="D386" s="33" t="s">
        <v>179</v>
      </c>
      <c r="E386" s="33"/>
    </row>
    <row r="389" spans="1:20" ht="31">
      <c r="A389" s="46" t="s">
        <v>126</v>
      </c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</row>
    <row r="390" spans="1:20">
      <c r="A390" s="44" t="s">
        <v>145</v>
      </c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27"/>
      <c r="N390" s="27"/>
      <c r="O390" s="27"/>
      <c r="P390" s="27"/>
      <c r="Q390" s="27"/>
      <c r="R390" s="27"/>
      <c r="S390" s="27"/>
      <c r="T390" s="27"/>
    </row>
    <row r="391" spans="1:20">
      <c r="A391" s="44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27"/>
      <c r="N391" s="27"/>
      <c r="O391" s="27"/>
      <c r="P391" s="27"/>
      <c r="Q391" s="27"/>
      <c r="R391" s="27"/>
      <c r="S391" s="27"/>
      <c r="T391" s="27"/>
    </row>
    <row r="392" spans="1:20">
      <c r="A392" s="44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27"/>
      <c r="N392" s="27"/>
      <c r="O392" s="27"/>
      <c r="P392" s="27"/>
      <c r="Q392" s="27"/>
      <c r="R392" s="27"/>
      <c r="S392" s="27"/>
      <c r="T392" s="27"/>
    </row>
    <row r="393" spans="1:20">
      <c r="A393" s="44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27"/>
      <c r="N393" s="27"/>
      <c r="O393" s="27"/>
      <c r="P393" s="27"/>
      <c r="Q393" s="27"/>
      <c r="R393" s="27"/>
      <c r="S393" s="27"/>
      <c r="T393" s="27"/>
    </row>
    <row r="394" spans="1:20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</row>
    <row r="395" spans="1:20">
      <c r="A395" s="43" t="s">
        <v>127</v>
      </c>
      <c r="B395" s="43"/>
      <c r="C395" s="43"/>
      <c r="D395" s="43"/>
      <c r="E395" s="43"/>
      <c r="F395" s="43"/>
      <c r="G395" s="43"/>
      <c r="H395" s="43"/>
      <c r="I395" s="43"/>
    </row>
    <row r="396" spans="1:20">
      <c r="A396" t="s">
        <v>128</v>
      </c>
      <c r="B396">
        <v>5</v>
      </c>
      <c r="C396" s="1" t="s">
        <v>129</v>
      </c>
    </row>
    <row r="397" spans="1:20">
      <c r="A397" t="s">
        <v>130</v>
      </c>
      <c r="B397">
        <v>105</v>
      </c>
      <c r="C397">
        <v>105</v>
      </c>
    </row>
    <row r="398" spans="1:20" ht="16">
      <c r="A398" t="s">
        <v>132</v>
      </c>
      <c r="B398">
        <v>1.5186999999999999</v>
      </c>
      <c r="C398">
        <v>4.0499000000000001</v>
      </c>
    </row>
    <row r="400" spans="1:20">
      <c r="A400" s="30" t="s">
        <v>146</v>
      </c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2">
      <c r="A401" t="s">
        <v>128</v>
      </c>
      <c r="B401">
        <v>1</v>
      </c>
      <c r="C401">
        <v>2</v>
      </c>
      <c r="D401">
        <v>3</v>
      </c>
      <c r="E401">
        <v>4</v>
      </c>
      <c r="F401" s="1" t="s">
        <v>83</v>
      </c>
      <c r="H401" s="11"/>
      <c r="I401" s="11"/>
      <c r="J401" s="11"/>
    </row>
    <row r="402" spans="1:12">
      <c r="A402" s="12" t="s">
        <v>133</v>
      </c>
      <c r="B402">
        <v>9030</v>
      </c>
      <c r="C402">
        <v>13545</v>
      </c>
      <c r="D402">
        <v>13545</v>
      </c>
      <c r="E402">
        <v>9030</v>
      </c>
      <c r="F402">
        <f>SUM(B402:E402)</f>
        <v>45150</v>
      </c>
    </row>
    <row r="403" spans="1:12">
      <c r="A403" s="12"/>
    </row>
    <row r="404" spans="1:12">
      <c r="A404" s="40" t="s">
        <v>134</v>
      </c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</row>
    <row r="405" spans="1:12">
      <c r="A405" s="40" t="s">
        <v>135</v>
      </c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</row>
    <row r="406" spans="1:1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>
      <c r="A407" s="12"/>
    </row>
    <row r="408" spans="1:12">
      <c r="A408" s="43" t="s">
        <v>147</v>
      </c>
      <c r="B408" s="43"/>
      <c r="C408" s="43"/>
      <c r="D408" s="43"/>
      <c r="E408" s="43"/>
      <c r="F408" s="43"/>
      <c r="G408" s="43"/>
    </row>
    <row r="409" spans="1:12">
      <c r="A409" t="s">
        <v>128</v>
      </c>
      <c r="B409">
        <v>1</v>
      </c>
      <c r="C409">
        <v>2</v>
      </c>
      <c r="D409">
        <v>3</v>
      </c>
      <c r="E409">
        <v>4</v>
      </c>
      <c r="F409">
        <v>5</v>
      </c>
      <c r="G409" s="1" t="s">
        <v>83</v>
      </c>
    </row>
    <row r="410" spans="1:12">
      <c r="A410" s="12" t="s">
        <v>133</v>
      </c>
      <c r="B410">
        <v>1045.6199999999999</v>
      </c>
      <c r="C410">
        <v>11309.21</v>
      </c>
      <c r="D410">
        <v>17664.23</v>
      </c>
      <c r="E410">
        <v>23774.85</v>
      </c>
      <c r="F410">
        <v>12997.99</v>
      </c>
      <c r="G410">
        <f>SUM(B410:F410)</f>
        <v>66791.899999999994</v>
      </c>
    </row>
    <row r="411" spans="1:12">
      <c r="A411" s="12"/>
    </row>
    <row r="412" spans="1:12">
      <c r="A412" s="40" t="s">
        <v>148</v>
      </c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4" spans="1:12">
      <c r="A414" s="43" t="s">
        <v>151</v>
      </c>
      <c r="B414" s="43"/>
      <c r="C414" s="43"/>
      <c r="D414" s="43"/>
      <c r="E414" s="43"/>
      <c r="F414" s="43"/>
      <c r="G414" s="43"/>
      <c r="H414" s="43"/>
      <c r="I414" s="43"/>
      <c r="J414" s="43"/>
      <c r="K414" s="43"/>
    </row>
    <row r="415" spans="1:12">
      <c r="A415" s="5"/>
      <c r="B415" s="37" t="s">
        <v>149</v>
      </c>
      <c r="C415" s="38"/>
      <c r="D415" s="39"/>
      <c r="E415" s="40" t="s">
        <v>150</v>
      </c>
      <c r="F415" s="40"/>
      <c r="G415" s="40"/>
      <c r="H415" s="40"/>
      <c r="I415" s="25"/>
      <c r="J415" s="5"/>
      <c r="K415" s="5"/>
    </row>
    <row r="416" spans="1:12">
      <c r="A416" t="s">
        <v>128</v>
      </c>
      <c r="B416" s="13" t="s">
        <v>136</v>
      </c>
      <c r="C416" s="14" t="s">
        <v>137</v>
      </c>
      <c r="D416" s="15" t="s">
        <v>138</v>
      </c>
      <c r="E416" t="s">
        <v>139</v>
      </c>
      <c r="F416" t="s">
        <v>140</v>
      </c>
      <c r="G416" t="s">
        <v>141</v>
      </c>
      <c r="H416" t="s">
        <v>138</v>
      </c>
      <c r="I416" s="31" t="s">
        <v>142</v>
      </c>
    </row>
    <row r="417" spans="1:12">
      <c r="A417">
        <v>1</v>
      </c>
      <c r="B417" s="13">
        <f>B410</f>
        <v>1045.6199999999999</v>
      </c>
      <c r="C417" s="14"/>
      <c r="D417" s="15">
        <f>B417+C417</f>
        <v>1045.6199999999999</v>
      </c>
      <c r="H417" s="28">
        <f>E417+F417+G417</f>
        <v>0</v>
      </c>
      <c r="I417" s="32">
        <f>H417-D417</f>
        <v>-1045.6199999999999</v>
      </c>
    </row>
    <row r="418" spans="1:12">
      <c r="A418">
        <v>2</v>
      </c>
      <c r="B418" s="13">
        <f>C410</f>
        <v>11309.21</v>
      </c>
      <c r="C418" s="14"/>
      <c r="D418" s="15">
        <f t="shared" ref="D418:D451" si="50">B418+C418</f>
        <v>11309.21</v>
      </c>
      <c r="E418">
        <v>9030</v>
      </c>
      <c r="H418" s="28">
        <f t="shared" ref="H418:H451" si="51">E418+F418+G418</f>
        <v>9030</v>
      </c>
      <c r="I418" s="32">
        <f t="shared" ref="I418:I451" si="52">H418-D418</f>
        <v>-2279.2099999999991</v>
      </c>
    </row>
    <row r="419" spans="1:12">
      <c r="A419">
        <v>3</v>
      </c>
      <c r="B419" s="13">
        <f>D410</f>
        <v>17664.23</v>
      </c>
      <c r="C419" s="14"/>
      <c r="D419" s="15">
        <f t="shared" si="50"/>
        <v>17664.23</v>
      </c>
      <c r="E419">
        <v>13545</v>
      </c>
      <c r="H419" s="28">
        <f t="shared" si="51"/>
        <v>13545</v>
      </c>
      <c r="I419" s="32">
        <f t="shared" si="52"/>
        <v>-4119.2299999999996</v>
      </c>
    </row>
    <row r="420" spans="1:12">
      <c r="A420">
        <v>4</v>
      </c>
      <c r="B420" s="13">
        <f>E410</f>
        <v>23774.85</v>
      </c>
      <c r="C420" s="14"/>
      <c r="D420" s="15">
        <f t="shared" si="50"/>
        <v>23774.85</v>
      </c>
      <c r="E420">
        <v>13545</v>
      </c>
      <c r="H420" s="28">
        <f t="shared" si="51"/>
        <v>13545</v>
      </c>
      <c r="I420" s="32">
        <f t="shared" si="52"/>
        <v>-10229.849999999999</v>
      </c>
    </row>
    <row r="421" spans="1:12">
      <c r="A421">
        <v>5</v>
      </c>
      <c r="B421" s="13">
        <f>F410</f>
        <v>12997.99</v>
      </c>
      <c r="C421" s="14">
        <v>461.63</v>
      </c>
      <c r="D421" s="15">
        <f t="shared" si="50"/>
        <v>13459.619999999999</v>
      </c>
      <c r="E421">
        <v>9030</v>
      </c>
      <c r="F421">
        <v>761.91</v>
      </c>
      <c r="G421">
        <v>1114.96</v>
      </c>
      <c r="H421" s="28">
        <f t="shared" si="51"/>
        <v>10906.869999999999</v>
      </c>
      <c r="I421" s="32">
        <f t="shared" si="52"/>
        <v>-2552.75</v>
      </c>
    </row>
    <row r="422" spans="1:12">
      <c r="A422">
        <v>6</v>
      </c>
      <c r="B422" s="13"/>
      <c r="C422" s="14">
        <v>1209.95</v>
      </c>
      <c r="D422" s="15">
        <f t="shared" si="50"/>
        <v>1209.95</v>
      </c>
      <c r="F422">
        <f>E452*0.045</f>
        <v>2031.75</v>
      </c>
      <c r="G422">
        <v>3002.97</v>
      </c>
      <c r="H422" s="28">
        <f t="shared" si="51"/>
        <v>5034.7199999999993</v>
      </c>
      <c r="I422" s="32">
        <f t="shared" si="52"/>
        <v>3824.7699999999995</v>
      </c>
    </row>
    <row r="423" spans="1:12">
      <c r="A423">
        <v>7</v>
      </c>
      <c r="B423" s="13"/>
      <c r="C423" s="14">
        <v>1209.95</v>
      </c>
      <c r="D423" s="15">
        <f t="shared" si="50"/>
        <v>1209.95</v>
      </c>
      <c r="F423">
        <f>E452*0.045</f>
        <v>2031.75</v>
      </c>
      <c r="G423" s="2">
        <f>G422*1.01</f>
        <v>3032.9996999999998</v>
      </c>
      <c r="H423" s="28">
        <f t="shared" si="51"/>
        <v>5064.7497000000003</v>
      </c>
      <c r="I423" s="32">
        <f t="shared" si="52"/>
        <v>3854.7997000000005</v>
      </c>
    </row>
    <row r="424" spans="1:12">
      <c r="A424">
        <v>8</v>
      </c>
      <c r="B424" s="13"/>
      <c r="C424" s="14">
        <v>1209.95</v>
      </c>
      <c r="D424" s="15">
        <f t="shared" si="50"/>
        <v>1209.95</v>
      </c>
      <c r="F424">
        <f>E452*0.045</f>
        <v>2031.75</v>
      </c>
      <c r="G424" s="2">
        <f>G423*1.01</f>
        <v>3063.3296969999997</v>
      </c>
      <c r="H424" s="28">
        <f t="shared" si="51"/>
        <v>5095.0796969999992</v>
      </c>
      <c r="I424" s="32">
        <f t="shared" si="52"/>
        <v>3885.1296969999994</v>
      </c>
    </row>
    <row r="425" spans="1:12">
      <c r="A425">
        <v>9</v>
      </c>
      <c r="B425" s="13"/>
      <c r="C425" s="14">
        <v>1209.95</v>
      </c>
      <c r="D425" s="15">
        <f t="shared" si="50"/>
        <v>1209.95</v>
      </c>
      <c r="F425">
        <v>2031.75</v>
      </c>
      <c r="G425" s="2">
        <f>G424*1.01</f>
        <v>3093.9629939699998</v>
      </c>
      <c r="H425" s="28">
        <f t="shared" si="51"/>
        <v>5125.7129939699998</v>
      </c>
      <c r="I425" s="32">
        <f t="shared" si="52"/>
        <v>3915.76299397</v>
      </c>
    </row>
    <row r="426" spans="1:12">
      <c r="A426">
        <v>10</v>
      </c>
      <c r="B426" s="13"/>
      <c r="C426" s="14">
        <v>1209.95</v>
      </c>
      <c r="D426" s="15">
        <f t="shared" si="50"/>
        <v>1209.95</v>
      </c>
      <c r="F426">
        <v>2031.75</v>
      </c>
      <c r="G426" s="2">
        <f t="shared" ref="G426:G450" si="53">G425*1.01</f>
        <v>3124.9026239096997</v>
      </c>
      <c r="H426" s="28">
        <f t="shared" si="51"/>
        <v>5156.6526239097002</v>
      </c>
      <c r="I426" s="32">
        <f t="shared" si="52"/>
        <v>3946.7026239097004</v>
      </c>
    </row>
    <row r="427" spans="1:12">
      <c r="A427">
        <v>11</v>
      </c>
      <c r="B427" s="13"/>
      <c r="C427" s="14">
        <v>1209.95</v>
      </c>
      <c r="D427" s="15">
        <f t="shared" si="50"/>
        <v>1209.95</v>
      </c>
      <c r="F427">
        <v>2031.75</v>
      </c>
      <c r="G427" s="2">
        <f t="shared" si="53"/>
        <v>3156.1516501487968</v>
      </c>
      <c r="H427" s="28">
        <f t="shared" si="51"/>
        <v>5187.9016501487968</v>
      </c>
      <c r="I427" s="32">
        <f t="shared" si="52"/>
        <v>3977.9516501487969</v>
      </c>
    </row>
    <row r="428" spans="1:12">
      <c r="A428">
        <v>12</v>
      </c>
      <c r="B428" s="13"/>
      <c r="C428" s="14">
        <v>1209.95</v>
      </c>
      <c r="D428" s="15">
        <f t="shared" si="50"/>
        <v>1209.95</v>
      </c>
      <c r="F428">
        <v>2031.75</v>
      </c>
      <c r="G428" s="2">
        <f t="shared" si="53"/>
        <v>3187.7131666502846</v>
      </c>
      <c r="H428" s="28">
        <f t="shared" si="51"/>
        <v>5219.4631666502846</v>
      </c>
      <c r="I428" s="32">
        <f t="shared" si="52"/>
        <v>4009.5131666502848</v>
      </c>
    </row>
    <row r="429" spans="1:12">
      <c r="A429">
        <v>13</v>
      </c>
      <c r="B429" s="13"/>
      <c r="C429" s="14">
        <v>1209.95</v>
      </c>
      <c r="D429" s="15">
        <f t="shared" si="50"/>
        <v>1209.95</v>
      </c>
      <c r="F429">
        <v>2031.75</v>
      </c>
      <c r="G429" s="2">
        <f t="shared" si="53"/>
        <v>3219.5902983167875</v>
      </c>
      <c r="H429" s="28">
        <f t="shared" si="51"/>
        <v>5251.3402983167871</v>
      </c>
      <c r="I429" s="32">
        <f t="shared" si="52"/>
        <v>4041.3902983167873</v>
      </c>
    </row>
    <row r="430" spans="1:12">
      <c r="A430">
        <v>14</v>
      </c>
      <c r="B430" s="13"/>
      <c r="C430" s="14">
        <v>1209.95</v>
      </c>
      <c r="D430" s="15">
        <f t="shared" si="50"/>
        <v>1209.95</v>
      </c>
      <c r="F430">
        <v>2031.75</v>
      </c>
      <c r="G430" s="2">
        <f t="shared" si="53"/>
        <v>3251.7862012999553</v>
      </c>
      <c r="H430" s="28">
        <f t="shared" si="51"/>
        <v>5283.5362012999558</v>
      </c>
      <c r="I430" s="32">
        <f t="shared" si="52"/>
        <v>4073.586201299956</v>
      </c>
    </row>
    <row r="431" spans="1:12">
      <c r="A431">
        <v>15</v>
      </c>
      <c r="B431" s="13"/>
      <c r="C431" s="14">
        <v>1197.31</v>
      </c>
      <c r="D431" s="15">
        <f t="shared" si="50"/>
        <v>1197.31</v>
      </c>
      <c r="F431">
        <v>2031.75</v>
      </c>
      <c r="G431" s="2">
        <f t="shared" si="53"/>
        <v>3284.3040633129549</v>
      </c>
      <c r="H431" s="28">
        <f t="shared" si="51"/>
        <v>5316.0540633129549</v>
      </c>
      <c r="I431" s="32">
        <f t="shared" si="52"/>
        <v>4118.7440633129554</v>
      </c>
    </row>
    <row r="432" spans="1:12">
      <c r="A432">
        <v>16</v>
      </c>
      <c r="B432" s="13"/>
      <c r="C432" s="14">
        <v>1197.31</v>
      </c>
      <c r="D432" s="15">
        <f t="shared" si="50"/>
        <v>1197.31</v>
      </c>
      <c r="F432">
        <v>2031.75</v>
      </c>
      <c r="G432" s="2">
        <f t="shared" si="53"/>
        <v>3317.1471039460844</v>
      </c>
      <c r="H432" s="28">
        <f t="shared" si="51"/>
        <v>5348.8971039460848</v>
      </c>
      <c r="I432" s="32">
        <f t="shared" si="52"/>
        <v>4151.5871039460853</v>
      </c>
      <c r="L432" s="1"/>
    </row>
    <row r="433" spans="1:9">
      <c r="A433">
        <v>17</v>
      </c>
      <c r="B433" s="13"/>
      <c r="C433" s="14">
        <v>1197.31</v>
      </c>
      <c r="D433" s="15">
        <f t="shared" si="50"/>
        <v>1197.31</v>
      </c>
      <c r="F433">
        <v>2031.75</v>
      </c>
      <c r="G433" s="2">
        <f t="shared" si="53"/>
        <v>3350.3185749855452</v>
      </c>
      <c r="H433" s="28">
        <f t="shared" si="51"/>
        <v>5382.0685749855456</v>
      </c>
      <c r="I433" s="32">
        <f t="shared" si="52"/>
        <v>4184.7585749855461</v>
      </c>
    </row>
    <row r="434" spans="1:9">
      <c r="A434">
        <v>18</v>
      </c>
      <c r="B434" s="13"/>
      <c r="C434" s="14">
        <v>1197.31</v>
      </c>
      <c r="D434" s="15">
        <f t="shared" si="50"/>
        <v>1197.31</v>
      </c>
      <c r="F434">
        <v>2031.75</v>
      </c>
      <c r="G434" s="2">
        <f t="shared" si="53"/>
        <v>3383.8217607354009</v>
      </c>
      <c r="H434" s="28">
        <f t="shared" si="51"/>
        <v>5415.5717607354009</v>
      </c>
      <c r="I434" s="32">
        <f t="shared" si="52"/>
        <v>4218.2617607354005</v>
      </c>
    </row>
    <row r="435" spans="1:9">
      <c r="A435">
        <v>19</v>
      </c>
      <c r="B435" s="13"/>
      <c r="C435" s="14">
        <v>1197.31</v>
      </c>
      <c r="D435" s="15">
        <f t="shared" si="50"/>
        <v>1197.31</v>
      </c>
      <c r="F435">
        <v>2031.75</v>
      </c>
      <c r="G435" s="2">
        <f t="shared" si="53"/>
        <v>3417.659978342755</v>
      </c>
      <c r="H435" s="28">
        <f t="shared" si="51"/>
        <v>5449.4099783427555</v>
      </c>
      <c r="I435" s="32">
        <f t="shared" si="52"/>
        <v>4252.099978342756</v>
      </c>
    </row>
    <row r="436" spans="1:9">
      <c r="A436">
        <v>20</v>
      </c>
      <c r="B436" s="13"/>
      <c r="C436" s="14">
        <v>1197.31</v>
      </c>
      <c r="D436" s="15">
        <f t="shared" si="50"/>
        <v>1197.31</v>
      </c>
      <c r="F436">
        <v>2031.75</v>
      </c>
      <c r="G436" s="2">
        <f t="shared" si="53"/>
        <v>3451.8365781261828</v>
      </c>
      <c r="H436" s="28">
        <f t="shared" si="51"/>
        <v>5483.5865781261828</v>
      </c>
      <c r="I436" s="32">
        <f t="shared" si="52"/>
        <v>4286.2765781261824</v>
      </c>
    </row>
    <row r="437" spans="1:9">
      <c r="A437">
        <v>21</v>
      </c>
      <c r="B437" s="13"/>
      <c r="C437" s="14">
        <v>1197.31</v>
      </c>
      <c r="D437" s="15">
        <f t="shared" si="50"/>
        <v>1197.31</v>
      </c>
      <c r="F437">
        <v>2031.75</v>
      </c>
      <c r="G437" s="2">
        <f t="shared" si="53"/>
        <v>3486.3549439074445</v>
      </c>
      <c r="H437" s="28">
        <f t="shared" si="51"/>
        <v>5518.104943907445</v>
      </c>
      <c r="I437" s="32">
        <f t="shared" si="52"/>
        <v>4320.7949439074455</v>
      </c>
    </row>
    <row r="438" spans="1:9">
      <c r="A438">
        <v>22</v>
      </c>
      <c r="B438" s="13"/>
      <c r="C438" s="14">
        <v>1197.31</v>
      </c>
      <c r="D438" s="15">
        <f t="shared" si="50"/>
        <v>1197.31</v>
      </c>
      <c r="F438">
        <v>2031.75</v>
      </c>
      <c r="G438" s="2">
        <f t="shared" si="53"/>
        <v>3521.2184933465192</v>
      </c>
      <c r="H438" s="28">
        <f t="shared" si="51"/>
        <v>5552.9684933465196</v>
      </c>
      <c r="I438" s="32">
        <f t="shared" si="52"/>
        <v>4355.6584933465201</v>
      </c>
    </row>
    <row r="439" spans="1:9">
      <c r="A439">
        <v>23</v>
      </c>
      <c r="B439" s="13"/>
      <c r="C439" s="14">
        <v>1197.31</v>
      </c>
      <c r="D439" s="15">
        <f t="shared" si="50"/>
        <v>1197.31</v>
      </c>
      <c r="F439">
        <v>2031.75</v>
      </c>
      <c r="G439" s="2">
        <f t="shared" si="53"/>
        <v>3556.4306782799845</v>
      </c>
      <c r="H439" s="28">
        <f t="shared" si="51"/>
        <v>5588.1806782799849</v>
      </c>
      <c r="I439" s="32">
        <f t="shared" si="52"/>
        <v>4390.8706782799854</v>
      </c>
    </row>
    <row r="440" spans="1:9">
      <c r="A440">
        <v>24</v>
      </c>
      <c r="B440" s="13"/>
      <c r="C440" s="14">
        <v>1197.31</v>
      </c>
      <c r="D440" s="15">
        <f t="shared" si="50"/>
        <v>1197.31</v>
      </c>
      <c r="F440">
        <v>2031.75</v>
      </c>
      <c r="G440" s="2">
        <f t="shared" si="53"/>
        <v>3591.9949850627845</v>
      </c>
      <c r="H440" s="28">
        <f t="shared" si="51"/>
        <v>5623.7449850627845</v>
      </c>
      <c r="I440" s="32">
        <f t="shared" si="52"/>
        <v>4426.4349850627841</v>
      </c>
    </row>
    <row r="441" spans="1:9">
      <c r="A441">
        <v>25</v>
      </c>
      <c r="B441" s="13"/>
      <c r="C441" s="14">
        <v>1197.31</v>
      </c>
      <c r="D441" s="15">
        <f t="shared" si="50"/>
        <v>1197.31</v>
      </c>
      <c r="F441">
        <v>2031.75</v>
      </c>
      <c r="G441" s="2">
        <f t="shared" si="53"/>
        <v>3627.9149349134123</v>
      </c>
      <c r="H441" s="28">
        <f t="shared" si="51"/>
        <v>5659.6649349134123</v>
      </c>
      <c r="I441" s="32">
        <f t="shared" si="52"/>
        <v>4462.3549349134119</v>
      </c>
    </row>
    <row r="442" spans="1:9">
      <c r="A442">
        <v>26</v>
      </c>
      <c r="B442" s="13"/>
      <c r="C442" s="14">
        <v>1197.31</v>
      </c>
      <c r="D442" s="15">
        <f t="shared" si="50"/>
        <v>1197.31</v>
      </c>
      <c r="F442">
        <v>2031.75</v>
      </c>
      <c r="G442" s="2">
        <f t="shared" si="53"/>
        <v>3664.1940842625463</v>
      </c>
      <c r="H442" s="28">
        <f t="shared" si="51"/>
        <v>5695.9440842625463</v>
      </c>
      <c r="I442" s="32">
        <f t="shared" si="52"/>
        <v>4498.6340842625468</v>
      </c>
    </row>
    <row r="443" spans="1:9">
      <c r="A443">
        <v>27</v>
      </c>
      <c r="B443" s="13"/>
      <c r="C443" s="14">
        <v>1197.31</v>
      </c>
      <c r="D443" s="15">
        <f t="shared" si="50"/>
        <v>1197.31</v>
      </c>
      <c r="F443">
        <v>2031.75</v>
      </c>
      <c r="G443" s="2">
        <f t="shared" si="53"/>
        <v>3700.8360251051718</v>
      </c>
      <c r="H443" s="28">
        <f t="shared" si="51"/>
        <v>5732.5860251051718</v>
      </c>
      <c r="I443" s="32">
        <f t="shared" si="52"/>
        <v>4535.2760251051714</v>
      </c>
    </row>
    <row r="444" spans="1:9">
      <c r="A444">
        <v>28</v>
      </c>
      <c r="B444" s="13"/>
      <c r="C444" s="14">
        <v>1197.31</v>
      </c>
      <c r="D444" s="15">
        <f t="shared" si="50"/>
        <v>1197.31</v>
      </c>
      <c r="F444">
        <v>2031.75</v>
      </c>
      <c r="G444" s="2">
        <f t="shared" si="53"/>
        <v>3737.8443853562235</v>
      </c>
      <c r="H444" s="28">
        <f t="shared" si="51"/>
        <v>5769.5943853562239</v>
      </c>
      <c r="I444" s="32">
        <f t="shared" si="52"/>
        <v>4572.2843853562244</v>
      </c>
    </row>
    <row r="445" spans="1:9">
      <c r="A445">
        <v>29</v>
      </c>
      <c r="B445" s="13"/>
      <c r="C445" s="14">
        <v>1197.31</v>
      </c>
      <c r="D445" s="15">
        <f t="shared" si="50"/>
        <v>1197.31</v>
      </c>
      <c r="F445">
        <v>2031.75</v>
      </c>
      <c r="G445" s="2">
        <f t="shared" si="53"/>
        <v>3775.2228292097857</v>
      </c>
      <c r="H445" s="28">
        <f t="shared" si="51"/>
        <v>5806.9728292097861</v>
      </c>
      <c r="I445" s="32">
        <f t="shared" si="52"/>
        <v>4609.6628292097867</v>
      </c>
    </row>
    <row r="446" spans="1:9">
      <c r="A446">
        <v>30</v>
      </c>
      <c r="B446" s="13"/>
      <c r="C446" s="14">
        <v>1197.31</v>
      </c>
      <c r="D446" s="15">
        <f t="shared" si="50"/>
        <v>1197.31</v>
      </c>
      <c r="F446">
        <v>2031.75</v>
      </c>
      <c r="G446" s="2">
        <f t="shared" si="53"/>
        <v>3812.9750575018834</v>
      </c>
      <c r="H446" s="28">
        <f t="shared" si="51"/>
        <v>5844.7250575018834</v>
      </c>
      <c r="I446" s="32">
        <f t="shared" si="52"/>
        <v>4647.415057501883</v>
      </c>
    </row>
    <row r="447" spans="1:9">
      <c r="A447">
        <v>31</v>
      </c>
      <c r="B447" s="13"/>
      <c r="C447" s="14">
        <v>1197.31</v>
      </c>
      <c r="D447" s="15">
        <f t="shared" si="50"/>
        <v>1197.31</v>
      </c>
      <c r="F447">
        <v>2031.75</v>
      </c>
      <c r="G447" s="2">
        <f t="shared" si="53"/>
        <v>3851.1048080769024</v>
      </c>
      <c r="H447" s="28">
        <f t="shared" si="51"/>
        <v>5882.8548080769024</v>
      </c>
      <c r="I447" s="32">
        <f t="shared" si="52"/>
        <v>4685.544808076902</v>
      </c>
    </row>
    <row r="448" spans="1:9">
      <c r="A448">
        <v>32</v>
      </c>
      <c r="B448" s="13"/>
      <c r="C448" s="14">
        <v>1197.31</v>
      </c>
      <c r="D448" s="15">
        <f t="shared" si="50"/>
        <v>1197.31</v>
      </c>
      <c r="F448">
        <v>2031.75</v>
      </c>
      <c r="G448" s="2">
        <f t="shared" si="53"/>
        <v>3889.6158561576713</v>
      </c>
      <c r="H448" s="28">
        <f t="shared" si="51"/>
        <v>5921.3658561576713</v>
      </c>
      <c r="I448" s="32">
        <f t="shared" si="52"/>
        <v>4724.0558561576709</v>
      </c>
    </row>
    <row r="449" spans="1:10">
      <c r="A449">
        <v>33</v>
      </c>
      <c r="B449" s="13"/>
      <c r="C449" s="14">
        <v>1197.31</v>
      </c>
      <c r="D449" s="15">
        <f t="shared" si="50"/>
        <v>1197.31</v>
      </c>
      <c r="F449">
        <v>2031.75</v>
      </c>
      <c r="G449" s="2">
        <f t="shared" si="53"/>
        <v>3928.5120147192479</v>
      </c>
      <c r="H449" s="28">
        <f t="shared" si="51"/>
        <v>5960.2620147192483</v>
      </c>
      <c r="I449" s="32">
        <f t="shared" si="52"/>
        <v>4762.9520147192488</v>
      </c>
    </row>
    <row r="450" spans="1:10">
      <c r="A450">
        <v>34</v>
      </c>
      <c r="B450" s="13"/>
      <c r="C450" s="14">
        <v>1197.31</v>
      </c>
      <c r="D450" s="15">
        <f t="shared" si="50"/>
        <v>1197.31</v>
      </c>
      <c r="F450">
        <v>2031.75</v>
      </c>
      <c r="G450" s="2">
        <f t="shared" si="53"/>
        <v>3967.7971348664405</v>
      </c>
      <c r="H450" s="28">
        <f t="shared" si="51"/>
        <v>5999.5471348664405</v>
      </c>
      <c r="I450" s="32">
        <f t="shared" si="52"/>
        <v>4802.2371348664401</v>
      </c>
    </row>
    <row r="451" spans="1:10">
      <c r="A451">
        <v>35</v>
      </c>
      <c r="B451" s="13"/>
      <c r="C451" s="14">
        <v>1197.31</v>
      </c>
      <c r="D451" s="15">
        <f t="shared" si="50"/>
        <v>1197.31</v>
      </c>
      <c r="F451">
        <v>2031.75</v>
      </c>
      <c r="G451" s="2">
        <f>G450*1.01</f>
        <v>4007.4751062151049</v>
      </c>
      <c r="H451" s="28">
        <f t="shared" si="51"/>
        <v>6039.2251062151045</v>
      </c>
      <c r="I451" s="32">
        <f t="shared" si="52"/>
        <v>4841.915106215105</v>
      </c>
    </row>
    <row r="452" spans="1:10">
      <c r="B452" s="13">
        <f>SUM(B417:B421)</f>
        <v>66791.899999999994</v>
      </c>
      <c r="C452" s="14">
        <f>SUM(C421:C451)</f>
        <v>36494.69000000001</v>
      </c>
      <c r="D452" s="15">
        <f>SUM(D417:D451)</f>
        <v>103286.58999999992</v>
      </c>
      <c r="E452">
        <f>SUM(E418:E451)</f>
        <v>45150</v>
      </c>
      <c r="F452">
        <f>SUM(F418:F451)</f>
        <v>61714.41</v>
      </c>
      <c r="G452" s="2">
        <f>SUM(G418:G451)</f>
        <v>105572.94572772556</v>
      </c>
      <c r="H452" s="28">
        <f>SUM(H418:H451)</f>
        <v>212437.35572772557</v>
      </c>
      <c r="I452" s="32">
        <f>SUM(I417:I451)</f>
        <v>109150.76572772559</v>
      </c>
    </row>
    <row r="454" spans="1:10">
      <c r="H454" s="1" t="s">
        <v>143</v>
      </c>
      <c r="I454" s="29">
        <f>IRR(I417:I451)</f>
        <v>0.15681601920221211</v>
      </c>
      <c r="J454" t="s">
        <v>152</v>
      </c>
    </row>
    <row r="455" spans="1:10">
      <c r="H455" s="1" t="s">
        <v>144</v>
      </c>
      <c r="I455" s="6">
        <f>NPV(0.1,I417:I451)</f>
        <v>9455.4116314896073</v>
      </c>
      <c r="J455" t="s">
        <v>153</v>
      </c>
    </row>
  </sheetData>
  <mergeCells count="46">
    <mergeCell ref="H241:J241"/>
    <mergeCell ref="K241:O241"/>
    <mergeCell ref="P241:P242"/>
    <mergeCell ref="B46:M46"/>
    <mergeCell ref="B130:D130"/>
    <mergeCell ref="B129:G129"/>
    <mergeCell ref="H129:M130"/>
    <mergeCell ref="N48:R48"/>
    <mergeCell ref="H240:P240"/>
    <mergeCell ref="B241:G241"/>
    <mergeCell ref="A198:F198"/>
    <mergeCell ref="A238:E238"/>
    <mergeCell ref="A44:H44"/>
    <mergeCell ref="A86:F86"/>
    <mergeCell ref="A127:E127"/>
    <mergeCell ref="A158:F158"/>
    <mergeCell ref="A2:N2"/>
    <mergeCell ref="N46:N47"/>
    <mergeCell ref="A6:F6"/>
    <mergeCell ref="A17:F17"/>
    <mergeCell ref="A27:F27"/>
    <mergeCell ref="B28:C28"/>
    <mergeCell ref="D28:E28"/>
    <mergeCell ref="F28:F29"/>
    <mergeCell ref="A38:J38"/>
    <mergeCell ref="E39:H39"/>
    <mergeCell ref="A395:I395"/>
    <mergeCell ref="A408:G408"/>
    <mergeCell ref="A3:M3"/>
    <mergeCell ref="A4:M4"/>
    <mergeCell ref="B327:M327"/>
    <mergeCell ref="A281:L281"/>
    <mergeCell ref="B328:E328"/>
    <mergeCell ref="F328:K328"/>
    <mergeCell ref="B283:E283"/>
    <mergeCell ref="F283:K283"/>
    <mergeCell ref="B415:D415"/>
    <mergeCell ref="E415:H415"/>
    <mergeCell ref="A370:P370"/>
    <mergeCell ref="A5:M5"/>
    <mergeCell ref="A414:K414"/>
    <mergeCell ref="A390:L394"/>
    <mergeCell ref="A404:L404"/>
    <mergeCell ref="A405:L405"/>
    <mergeCell ref="A412:K412"/>
    <mergeCell ref="A389:L389"/>
  </mergeCells>
  <phoneticPr fontId="2" type="noConversion"/>
  <pageMargins left="0.75" right="0.75" top="1" bottom="1" header="0.5" footer="0.5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MC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development w</cp:lastModifiedBy>
  <dcterms:created xsi:type="dcterms:W3CDTF">2009-05-06T13:59:35Z</dcterms:created>
  <dcterms:modified xsi:type="dcterms:W3CDTF">2019-12-21T07:59:10Z</dcterms:modified>
</cp:coreProperties>
</file>